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ажи Ozon" sheetId="1" state="visible" r:id="rId1"/>
    <sheet xmlns:r="http://schemas.openxmlformats.org/officeDocument/2006/relationships" name="Продажи WB" sheetId="2" state="visible" r:id="rId2"/>
    <sheet xmlns:r="http://schemas.openxmlformats.org/officeDocument/2006/relationships" name="Производство" sheetId="3" state="visible" r:id="rId3"/>
    <sheet xmlns:r="http://schemas.openxmlformats.org/officeDocument/2006/relationships" name="Транспорт" sheetId="4" state="visible" r:id="rId4"/>
    <sheet xmlns:r="http://schemas.openxmlformats.org/officeDocument/2006/relationships" name="Соинвест Ozon" sheetId="5" state="visible" r:id="rId5"/>
    <sheet xmlns:r="http://schemas.openxmlformats.org/officeDocument/2006/relationships" name="Реклама Ozon" sheetId="6" state="visible" r:id="rId6"/>
    <sheet xmlns:r="http://schemas.openxmlformats.org/officeDocument/2006/relationships" name="Реклама WB" sheetId="7" state="visible" r:id="rId7"/>
    <sheet xmlns:r="http://schemas.openxmlformats.org/officeDocument/2006/relationships" name="Тарифы Ozon" sheetId="8" state="visible" r:id="rId8"/>
    <sheet xmlns:r="http://schemas.openxmlformats.org/officeDocument/2006/relationships" name="Тарифы WB" sheetId="9" state="visible" r:id="rId9"/>
    <sheet xmlns:r="http://schemas.openxmlformats.org/officeDocument/2006/relationships" name="Счета бренд-рекламы" sheetId="10" state="visible" r:id="rId10"/>
    <sheet xmlns:r="http://schemas.openxmlformats.org/officeDocument/2006/relationships" name="Зарплатная ведомость" sheetId="11" state="visible" r:id="rId11"/>
    <sheet xmlns:r="http://schemas.openxmlformats.org/officeDocument/2006/relationships" name="Прочие постоянные" sheetId="12" state="visible" r:id="rId12"/>
    <sheet xmlns:r="http://schemas.openxmlformats.org/officeDocument/2006/relationships" name="Источники" sheetId="13" state="visible" r:id="rId13"/>
    <sheet xmlns:r="http://schemas.openxmlformats.org/officeDocument/2006/relationships" name="Валовая" sheetId="14" state="visible" r:id="rId14"/>
    <sheet xmlns:r="http://schemas.openxmlformats.org/officeDocument/2006/relationships" name="Маржинальная" sheetId="15" state="visible" r:id="rId15"/>
    <sheet xmlns:r="http://schemas.openxmlformats.org/officeDocument/2006/relationships" name="Постоянные" sheetId="16" state="visible" r:id="rId16"/>
    <sheet xmlns:r="http://schemas.openxmlformats.org/officeDocument/2006/relationships" name="Операционная" sheetId="17" state="visible" r:id="rId17"/>
    <sheet xmlns:r="http://schemas.openxmlformats.org/officeDocument/2006/relationships" name="Свод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Дата</t>
        </is>
      </c>
      <c r="B1" s="1" t="inlineStr">
        <is>
          <t>Order ID</t>
        </is>
      </c>
      <c r="C1" s="1" t="inlineStr">
        <is>
          <t>SKU</t>
        </is>
      </c>
      <c r="D1" s="1" t="inlineStr">
        <is>
          <t>Кол-во, шт</t>
        </is>
      </c>
      <c r="E1" s="1" t="inlineStr">
        <is>
          <t>Цена реализации, ₽</t>
        </is>
      </c>
      <c r="F1" s="1" t="inlineStr">
        <is>
          <t>Тип оплаты</t>
        </is>
      </c>
      <c r="G1" s="1" t="inlineStr">
        <is>
          <t>Refund</t>
        </is>
      </c>
    </row>
    <row r="2">
      <c r="A2" t="inlineStr">
        <is>
          <t>2026-04-01</t>
        </is>
      </c>
      <c r="B2" t="inlineStr">
        <is>
          <t>OZ-100000024</t>
        </is>
      </c>
      <c r="C2" t="inlineStr">
        <is>
          <t>ABC-CLN-042</t>
        </is>
      </c>
      <c r="D2" t="n">
        <v>109</v>
      </c>
      <c r="E2" t="n">
        <v>380</v>
      </c>
      <c r="F2" t="inlineStr">
        <is>
          <t>Ozon Pay</t>
        </is>
      </c>
      <c r="G2" t="inlineStr">
        <is>
          <t>N</t>
        </is>
      </c>
    </row>
    <row r="3">
      <c r="A3" t="inlineStr">
        <is>
          <t>2026-04-01</t>
        </is>
      </c>
      <c r="B3" t="inlineStr">
        <is>
          <t>OZ-100000061</t>
        </is>
      </c>
      <c r="C3" t="inlineStr">
        <is>
          <t>ABC-CLN-042</t>
        </is>
      </c>
      <c r="D3" t="n">
        <v>437</v>
      </c>
      <c r="E3" t="n">
        <v>380</v>
      </c>
      <c r="F3" t="inlineStr">
        <is>
          <t>Карта</t>
        </is>
      </c>
      <c r="G3" t="inlineStr">
        <is>
          <t>N</t>
        </is>
      </c>
    </row>
    <row r="4">
      <c r="A4" t="inlineStr">
        <is>
          <t>2026-04-01</t>
        </is>
      </c>
      <c r="B4" t="inlineStr">
        <is>
          <t>OZ-100001826</t>
        </is>
      </c>
      <c r="C4" t="inlineStr">
        <is>
          <t>ABC-LDR-034</t>
        </is>
      </c>
      <c r="D4" t="n">
        <v>158</v>
      </c>
      <c r="E4" t="n">
        <v>720</v>
      </c>
      <c r="F4" t="inlineStr">
        <is>
          <t>Карта</t>
        </is>
      </c>
      <c r="G4" t="inlineStr">
        <is>
          <t>N</t>
        </is>
      </c>
    </row>
    <row r="5">
      <c r="A5" t="inlineStr">
        <is>
          <t>2026-04-01</t>
        </is>
      </c>
      <c r="B5" t="inlineStr">
        <is>
          <t>OZ-100001864</t>
        </is>
      </c>
      <c r="C5" t="inlineStr">
        <is>
          <t>ABC-LDR-034</t>
        </is>
      </c>
      <c r="D5" t="n">
        <v>39</v>
      </c>
      <c r="E5" t="n">
        <v>720</v>
      </c>
      <c r="F5" t="inlineStr">
        <is>
          <t>Ozon Pay</t>
        </is>
      </c>
      <c r="G5" t="inlineStr">
        <is>
          <t>N</t>
        </is>
      </c>
    </row>
    <row r="6">
      <c r="A6" t="inlineStr">
        <is>
          <t>2026-04-01</t>
        </is>
      </c>
      <c r="B6" t="inlineStr">
        <is>
          <t>OZ-100003878</t>
        </is>
      </c>
      <c r="C6" t="inlineStr">
        <is>
          <t>ABC-LDR-027</t>
        </is>
      </c>
      <c r="D6" t="n">
        <v>159</v>
      </c>
      <c r="E6" t="n">
        <v>290</v>
      </c>
      <c r="F6" t="inlineStr">
        <is>
          <t>Карта</t>
        </is>
      </c>
      <c r="G6" t="inlineStr">
        <is>
          <t>N</t>
        </is>
      </c>
    </row>
    <row r="7">
      <c r="A7" t="inlineStr">
        <is>
          <t>2026-04-01</t>
        </is>
      </c>
      <c r="B7" t="inlineStr">
        <is>
          <t>OZ-100003924</t>
        </is>
      </c>
      <c r="C7" t="inlineStr">
        <is>
          <t>ABC-LDR-027</t>
        </is>
      </c>
      <c r="D7" t="n">
        <v>40</v>
      </c>
      <c r="E7" t="n">
        <v>290</v>
      </c>
      <c r="F7" t="inlineStr">
        <is>
          <t>Ozon Pay</t>
        </is>
      </c>
      <c r="G7" t="inlineStr">
        <is>
          <t>N</t>
        </is>
      </c>
    </row>
    <row r="8">
      <c r="A8" t="inlineStr">
        <is>
          <t>2026-04-01</t>
        </is>
      </c>
      <c r="B8" t="inlineStr">
        <is>
          <t>OZ-100003945</t>
        </is>
      </c>
      <c r="C8" t="inlineStr">
        <is>
          <t>ABC-LDR-027</t>
        </is>
      </c>
      <c r="D8" t="n">
        <v>66</v>
      </c>
      <c r="E8" t="n">
        <v>290</v>
      </c>
      <c r="F8" t="inlineStr">
        <is>
          <t>Wallet</t>
        </is>
      </c>
      <c r="G8" t="inlineStr">
        <is>
          <t>N</t>
        </is>
      </c>
    </row>
    <row r="9">
      <c r="A9" t="inlineStr">
        <is>
          <t>2026-04-01</t>
        </is>
      </c>
      <c r="B9" t="inlineStr">
        <is>
          <t>OZ-100006001</t>
        </is>
      </c>
      <c r="C9" t="inlineStr">
        <is>
          <t>ABC-DSH-018</t>
        </is>
      </c>
      <c r="D9" t="n">
        <v>436</v>
      </c>
      <c r="E9" t="n">
        <v>216</v>
      </c>
      <c r="F9" t="inlineStr">
        <is>
          <t>Карта</t>
        </is>
      </c>
      <c r="G9" t="inlineStr">
        <is>
          <t>N</t>
        </is>
      </c>
    </row>
    <row r="10">
      <c r="A10" t="inlineStr">
        <is>
          <t>2026-04-01</t>
        </is>
      </c>
      <c r="B10" t="inlineStr">
        <is>
          <t>OZ-100006019</t>
        </is>
      </c>
      <c r="C10" t="inlineStr">
        <is>
          <t>ABC-DSH-018</t>
        </is>
      </c>
      <c r="D10" t="n">
        <v>109</v>
      </c>
      <c r="E10" t="n">
        <v>216</v>
      </c>
      <c r="F10" t="inlineStr">
        <is>
          <t>Ozon Pay</t>
        </is>
      </c>
      <c r="G10" t="inlineStr">
        <is>
          <t>N</t>
        </is>
      </c>
    </row>
    <row r="11">
      <c r="A11" t="inlineStr">
        <is>
          <t>2026-04-01</t>
        </is>
      </c>
      <c r="B11" t="inlineStr">
        <is>
          <t>OZ-100006034</t>
        </is>
      </c>
      <c r="C11" t="inlineStr">
        <is>
          <t>ABC-DSH-018</t>
        </is>
      </c>
      <c r="D11" t="n">
        <v>182</v>
      </c>
      <c r="E11" t="n">
        <v>216</v>
      </c>
      <c r="F11" t="inlineStr">
        <is>
          <t>Wallet</t>
        </is>
      </c>
      <c r="G11" t="inlineStr">
        <is>
          <t>N</t>
        </is>
      </c>
    </row>
    <row r="12">
      <c r="A12" t="inlineStr">
        <is>
          <t>2026-04-01</t>
        </is>
      </c>
      <c r="B12" t="inlineStr">
        <is>
          <t>OZ-100007773</t>
        </is>
      </c>
      <c r="C12" t="inlineStr">
        <is>
          <t>ABC-KIT-051</t>
        </is>
      </c>
      <c r="D12" t="n">
        <v>212</v>
      </c>
      <c r="E12" t="n">
        <v>350</v>
      </c>
      <c r="F12" t="inlineStr">
        <is>
          <t>Wallet</t>
        </is>
      </c>
      <c r="G12" t="inlineStr">
        <is>
          <t>N</t>
        </is>
      </c>
    </row>
    <row r="13">
      <c r="A13" t="inlineStr">
        <is>
          <t>2026-04-01</t>
        </is>
      </c>
      <c r="B13" t="inlineStr">
        <is>
          <t>OZ-100009883</t>
        </is>
      </c>
      <c r="C13" t="inlineStr">
        <is>
          <t>ABC-WND-009</t>
        </is>
      </c>
      <c r="D13" t="n">
        <v>73</v>
      </c>
      <c r="E13" t="n">
        <v>220</v>
      </c>
      <c r="F13" t="inlineStr">
        <is>
          <t>Wallet</t>
        </is>
      </c>
      <c r="G13" t="inlineStr">
        <is>
          <t>N</t>
        </is>
      </c>
    </row>
    <row r="14">
      <c r="A14" t="inlineStr">
        <is>
          <t>2026-04-01</t>
        </is>
      </c>
      <c r="B14" t="inlineStr">
        <is>
          <t>OZ-100009921</t>
        </is>
      </c>
      <c r="C14" t="inlineStr">
        <is>
          <t>ABC-WND-009</t>
        </is>
      </c>
      <c r="D14" t="n">
        <v>43</v>
      </c>
      <c r="E14" t="n">
        <v>220</v>
      </c>
      <c r="F14" t="inlineStr">
        <is>
          <t>Ozon Pay</t>
        </is>
      </c>
      <c r="G14" t="inlineStr">
        <is>
          <t>N</t>
        </is>
      </c>
    </row>
    <row r="15">
      <c r="A15" t="inlineStr">
        <is>
          <t>2026-04-01</t>
        </is>
      </c>
      <c r="B15" t="inlineStr">
        <is>
          <t>OZ-100009959</t>
        </is>
      </c>
      <c r="C15" t="inlineStr">
        <is>
          <t>ABC-WND-009</t>
        </is>
      </c>
      <c r="D15" t="n">
        <v>173</v>
      </c>
      <c r="E15" t="n">
        <v>220</v>
      </c>
      <c r="F15" t="inlineStr">
        <is>
          <t>Карта</t>
        </is>
      </c>
      <c r="G15" t="inlineStr">
        <is>
          <t>N</t>
        </is>
      </c>
    </row>
    <row r="16">
      <c r="A16" t="inlineStr">
        <is>
          <t>2026-04-02</t>
        </is>
      </c>
      <c r="B16" t="inlineStr">
        <is>
          <t>OZ-100000075</t>
        </is>
      </c>
      <c r="C16" t="inlineStr">
        <is>
          <t>ABC-CLN-042</t>
        </is>
      </c>
      <c r="D16" t="n">
        <v>546</v>
      </c>
      <c r="E16" t="n">
        <v>380</v>
      </c>
      <c r="F16" t="inlineStr">
        <is>
          <t>Wallet</t>
        </is>
      </c>
      <c r="G16" t="inlineStr">
        <is>
          <t>N</t>
        </is>
      </c>
    </row>
    <row r="17">
      <c r="A17" t="inlineStr">
        <is>
          <t>2026-04-02</t>
        </is>
      </c>
      <c r="B17" t="inlineStr">
        <is>
          <t>OZ-100001909</t>
        </is>
      </c>
      <c r="C17" t="inlineStr">
        <is>
          <t>ABC-LDR-034</t>
        </is>
      </c>
      <c r="D17" t="n">
        <v>30</v>
      </c>
      <c r="E17" t="n">
        <v>720</v>
      </c>
      <c r="F17" t="inlineStr">
        <is>
          <t>Ozon Pay</t>
        </is>
      </c>
      <c r="G17" t="inlineStr">
        <is>
          <t>N</t>
        </is>
      </c>
    </row>
    <row r="18">
      <c r="A18" t="inlineStr">
        <is>
          <t>2026-04-02</t>
        </is>
      </c>
      <c r="B18" t="inlineStr">
        <is>
          <t>OZ-100001950</t>
        </is>
      </c>
      <c r="C18" t="inlineStr">
        <is>
          <t>ABC-LDR-034</t>
        </is>
      </c>
      <c r="D18" t="n">
        <v>49</v>
      </c>
      <c r="E18" t="n">
        <v>720</v>
      </c>
      <c r="F18" t="inlineStr">
        <is>
          <t>Wallet</t>
        </is>
      </c>
      <c r="G18" t="inlineStr">
        <is>
          <t>N</t>
        </is>
      </c>
    </row>
    <row r="19">
      <c r="A19" t="inlineStr">
        <is>
          <t>2026-04-02</t>
        </is>
      </c>
      <c r="B19" t="inlineStr">
        <is>
          <t>OZ-100001977</t>
        </is>
      </c>
      <c r="C19" t="inlineStr">
        <is>
          <t>ABC-LDR-034</t>
        </is>
      </c>
      <c r="D19" t="n">
        <v>118</v>
      </c>
      <c r="E19" t="n">
        <v>720</v>
      </c>
      <c r="F19" t="inlineStr">
        <is>
          <t>Карта</t>
        </is>
      </c>
      <c r="G19" t="inlineStr">
        <is>
          <t>N</t>
        </is>
      </c>
    </row>
    <row r="20">
      <c r="A20" t="inlineStr">
        <is>
          <t>2026-04-02</t>
        </is>
      </c>
      <c r="B20" t="inlineStr">
        <is>
          <t>OZ-100003974</t>
        </is>
      </c>
      <c r="C20" t="inlineStr">
        <is>
          <t>ABC-LDR-027</t>
        </is>
      </c>
      <c r="D20" t="n">
        <v>265</v>
      </c>
      <c r="E20" t="n">
        <v>290</v>
      </c>
      <c r="F20" t="inlineStr">
        <is>
          <t>Карта</t>
        </is>
      </c>
      <c r="G20" t="inlineStr">
        <is>
          <t>N</t>
        </is>
      </c>
    </row>
    <row r="21">
      <c r="A21" t="inlineStr">
        <is>
          <t>2026-04-02</t>
        </is>
      </c>
      <c r="B21" t="inlineStr">
        <is>
          <t>OZ-100006055</t>
        </is>
      </c>
      <c r="C21" t="inlineStr">
        <is>
          <t>ABC-DSH-018</t>
        </is>
      </c>
      <c r="D21" t="n">
        <v>727</v>
      </c>
      <c r="E21" t="n">
        <v>216</v>
      </c>
      <c r="F21" t="inlineStr">
        <is>
          <t>Карта</t>
        </is>
      </c>
      <c r="G21" t="inlineStr">
        <is>
          <t>N</t>
        </is>
      </c>
    </row>
    <row r="22">
      <c r="A22" t="inlineStr">
        <is>
          <t>2026-04-02</t>
        </is>
      </c>
      <c r="B22" t="inlineStr">
        <is>
          <t>OZ-100007813</t>
        </is>
      </c>
      <c r="C22" t="inlineStr">
        <is>
          <t>ABC-KIT-051</t>
        </is>
      </c>
      <c r="D22" t="n">
        <v>53</v>
      </c>
      <c r="E22" t="n">
        <v>350</v>
      </c>
      <c r="F22" t="inlineStr">
        <is>
          <t>Wallet</t>
        </is>
      </c>
      <c r="G22" t="inlineStr">
        <is>
          <t>N</t>
        </is>
      </c>
    </row>
    <row r="23">
      <c r="A23" t="inlineStr">
        <is>
          <t>2026-04-02</t>
        </is>
      </c>
      <c r="B23" t="inlineStr">
        <is>
          <t>OZ-100007852</t>
        </is>
      </c>
      <c r="C23" t="inlineStr">
        <is>
          <t>ABC-KIT-051</t>
        </is>
      </c>
      <c r="D23" t="n">
        <v>32</v>
      </c>
      <c r="E23" t="n">
        <v>350</v>
      </c>
      <c r="F23" t="inlineStr">
        <is>
          <t>Ozon Pay</t>
        </is>
      </c>
      <c r="G23" t="inlineStr">
        <is>
          <t>N</t>
        </is>
      </c>
    </row>
    <row r="24">
      <c r="A24" t="inlineStr">
        <is>
          <t>2026-04-02</t>
        </is>
      </c>
      <c r="B24" t="inlineStr">
        <is>
          <t>OZ-100007880</t>
        </is>
      </c>
      <c r="C24" t="inlineStr">
        <is>
          <t>ABC-KIT-051</t>
        </is>
      </c>
      <c r="D24" t="n">
        <v>127</v>
      </c>
      <c r="E24" t="n">
        <v>350</v>
      </c>
      <c r="F24" t="inlineStr">
        <is>
          <t>Карта</t>
        </is>
      </c>
      <c r="G24" t="inlineStr">
        <is>
          <t>N</t>
        </is>
      </c>
    </row>
    <row r="25">
      <c r="A25" t="inlineStr">
        <is>
          <t>2026-04-02</t>
        </is>
      </c>
      <c r="B25" t="inlineStr">
        <is>
          <t>OZ-100009989</t>
        </is>
      </c>
      <c r="C25" t="inlineStr">
        <is>
          <t>ABC-WND-009</t>
        </is>
      </c>
      <c r="D25" t="n">
        <v>231</v>
      </c>
      <c r="E25" t="n">
        <v>220</v>
      </c>
      <c r="F25" t="inlineStr">
        <is>
          <t>Карта</t>
        </is>
      </c>
      <c r="G25" t="inlineStr">
        <is>
          <t>N</t>
        </is>
      </c>
    </row>
    <row r="26">
      <c r="A26" t="inlineStr">
        <is>
          <t>2026-04-02</t>
        </is>
      </c>
      <c r="B26" t="inlineStr">
        <is>
          <t>OZ-100010003</t>
        </is>
      </c>
      <c r="C26" t="inlineStr">
        <is>
          <t>ABC-WND-009</t>
        </is>
      </c>
      <c r="D26" t="n">
        <v>58</v>
      </c>
      <c r="E26" t="n">
        <v>220</v>
      </c>
      <c r="F26" t="inlineStr">
        <is>
          <t>Ozon Pay</t>
        </is>
      </c>
      <c r="G26" t="inlineStr">
        <is>
          <t>N</t>
        </is>
      </c>
    </row>
    <row r="27">
      <c r="A27" t="inlineStr">
        <is>
          <t>2026-04-03</t>
        </is>
      </c>
      <c r="B27" t="inlineStr">
        <is>
          <t>OZ-100000088</t>
        </is>
      </c>
      <c r="C27" t="inlineStr">
        <is>
          <t>ABC-CLN-042</t>
        </is>
      </c>
      <c r="D27" t="n">
        <v>546</v>
      </c>
      <c r="E27" t="n">
        <v>380</v>
      </c>
      <c r="F27" t="inlineStr">
        <is>
          <t>Карта</t>
        </is>
      </c>
      <c r="G27" t="inlineStr">
        <is>
          <t>N</t>
        </is>
      </c>
    </row>
    <row r="28">
      <c r="A28" t="inlineStr">
        <is>
          <t>2026-04-03</t>
        </is>
      </c>
      <c r="B28" t="inlineStr">
        <is>
          <t>OZ-100001999</t>
        </is>
      </c>
      <c r="C28" t="inlineStr">
        <is>
          <t>ABC-LDR-034</t>
        </is>
      </c>
      <c r="D28" t="n">
        <v>197</v>
      </c>
      <c r="E28" t="n">
        <v>720</v>
      </c>
      <c r="F28" t="inlineStr">
        <is>
          <t>Карта</t>
        </is>
      </c>
      <c r="G28" t="inlineStr">
        <is>
          <t>N</t>
        </is>
      </c>
    </row>
    <row r="29">
      <c r="A29" t="inlineStr">
        <is>
          <t>2026-04-03</t>
        </is>
      </c>
      <c r="B29" t="inlineStr">
        <is>
          <t>OZ-100004021</t>
        </is>
      </c>
      <c r="C29" t="inlineStr">
        <is>
          <t>ABC-LDR-027</t>
        </is>
      </c>
      <c r="D29" t="n">
        <v>78</v>
      </c>
      <c r="E29" t="n">
        <v>290</v>
      </c>
      <c r="F29" t="inlineStr">
        <is>
          <t>Wallet</t>
        </is>
      </c>
      <c r="G29" t="inlineStr">
        <is>
          <t>N</t>
        </is>
      </c>
    </row>
    <row r="30">
      <c r="A30" t="inlineStr">
        <is>
          <t>2026-04-03</t>
        </is>
      </c>
      <c r="B30" t="inlineStr">
        <is>
          <t>OZ-100004055</t>
        </is>
      </c>
      <c r="C30" t="inlineStr">
        <is>
          <t>ABC-LDR-027</t>
        </is>
      </c>
      <c r="D30" t="n">
        <v>187</v>
      </c>
      <c r="E30" t="n">
        <v>290</v>
      </c>
      <c r="F30" t="inlineStr">
        <is>
          <t>Карта</t>
        </is>
      </c>
      <c r="G30" t="inlineStr">
        <is>
          <t>N</t>
        </is>
      </c>
    </row>
    <row r="31">
      <c r="A31" t="inlineStr">
        <is>
          <t>2026-04-03</t>
        </is>
      </c>
      <c r="B31" t="inlineStr">
        <is>
          <t>OZ-100006092</t>
        </is>
      </c>
      <c r="C31" t="inlineStr">
        <is>
          <t>ABC-DSH-018</t>
        </is>
      </c>
      <c r="D31" t="n">
        <v>145</v>
      </c>
      <c r="E31" t="n">
        <v>216</v>
      </c>
      <c r="F31" t="inlineStr">
        <is>
          <t>Ozon Pay</t>
        </is>
      </c>
      <c r="G31" t="inlineStr">
        <is>
          <t>N</t>
        </is>
      </c>
    </row>
    <row r="32">
      <c r="A32" t="inlineStr">
        <is>
          <t>2026-04-03</t>
        </is>
      </c>
      <c r="B32" t="inlineStr">
        <is>
          <t>OZ-100006126</t>
        </is>
      </c>
      <c r="C32" t="inlineStr">
        <is>
          <t>ABC-DSH-018</t>
        </is>
      </c>
      <c r="D32" t="n">
        <v>582</v>
      </c>
      <c r="E32" t="n">
        <v>216</v>
      </c>
      <c r="F32" t="inlineStr">
        <is>
          <t>Карта</t>
        </is>
      </c>
      <c r="G32" t="inlineStr">
        <is>
          <t>N</t>
        </is>
      </c>
    </row>
    <row r="33">
      <c r="A33" t="inlineStr">
        <is>
          <t>2026-04-03</t>
        </is>
      </c>
      <c r="B33" t="inlineStr">
        <is>
          <t>OZ-100007924</t>
        </is>
      </c>
      <c r="C33" t="inlineStr">
        <is>
          <t>ABC-KIT-051</t>
        </is>
      </c>
      <c r="D33" t="n">
        <v>32</v>
      </c>
      <c r="E33" t="n">
        <v>350</v>
      </c>
      <c r="F33" t="inlineStr">
        <is>
          <t>Ozon Pay</t>
        </is>
      </c>
      <c r="G33" t="inlineStr">
        <is>
          <t>N</t>
        </is>
      </c>
    </row>
    <row r="34">
      <c r="A34" t="inlineStr">
        <is>
          <t>2026-04-03</t>
        </is>
      </c>
      <c r="B34" t="inlineStr">
        <is>
          <t>OZ-100007944</t>
        </is>
      </c>
      <c r="C34" t="inlineStr">
        <is>
          <t>ABC-KIT-051</t>
        </is>
      </c>
      <c r="D34" t="n">
        <v>53</v>
      </c>
      <c r="E34" t="n">
        <v>350</v>
      </c>
      <c r="F34" t="inlineStr">
        <is>
          <t>Wallet</t>
        </is>
      </c>
      <c r="G34" t="inlineStr">
        <is>
          <t>N</t>
        </is>
      </c>
    </row>
    <row r="35">
      <c r="A35" t="inlineStr">
        <is>
          <t>2026-04-03</t>
        </is>
      </c>
      <c r="B35" t="inlineStr">
        <is>
          <t>OZ-100007970</t>
        </is>
      </c>
      <c r="C35" t="inlineStr">
        <is>
          <t>ABC-KIT-051</t>
        </is>
      </c>
      <c r="D35" t="n">
        <v>127</v>
      </c>
      <c r="E35" t="n">
        <v>350</v>
      </c>
      <c r="F35" t="inlineStr">
        <is>
          <t>Карта</t>
        </is>
      </c>
      <c r="G35" t="inlineStr">
        <is>
          <t>N</t>
        </is>
      </c>
    </row>
    <row r="36">
      <c r="A36" t="inlineStr">
        <is>
          <t>2026-04-03</t>
        </is>
      </c>
      <c r="B36" t="inlineStr">
        <is>
          <t>OZ-100010041</t>
        </is>
      </c>
      <c r="C36" t="inlineStr">
        <is>
          <t>ABC-WND-009</t>
        </is>
      </c>
      <c r="D36" t="n">
        <v>204</v>
      </c>
      <c r="E36" t="n">
        <v>220</v>
      </c>
      <c r="F36" t="inlineStr">
        <is>
          <t>Карта</t>
        </is>
      </c>
      <c r="G36" t="inlineStr">
        <is>
          <t>N</t>
        </is>
      </c>
    </row>
    <row r="37">
      <c r="A37" t="inlineStr">
        <is>
          <t>2026-04-03</t>
        </is>
      </c>
      <c r="B37" t="inlineStr">
        <is>
          <t>OZ-100010059</t>
        </is>
      </c>
      <c r="C37" t="inlineStr">
        <is>
          <t>ABC-WND-009</t>
        </is>
      </c>
      <c r="D37" t="n">
        <v>85</v>
      </c>
      <c r="E37" t="n">
        <v>220</v>
      </c>
      <c r="F37" t="inlineStr">
        <is>
          <t>Wallet</t>
        </is>
      </c>
      <c r="G37" t="inlineStr">
        <is>
          <t>N</t>
        </is>
      </c>
    </row>
    <row r="38">
      <c r="A38" t="inlineStr">
        <is>
          <t>2026-04-04</t>
        </is>
      </c>
      <c r="B38" t="inlineStr">
        <is>
          <t>OZ-100000133</t>
        </is>
      </c>
      <c r="C38" t="inlineStr">
        <is>
          <t>ABC-CLN-042</t>
        </is>
      </c>
      <c r="D38" t="n">
        <v>546</v>
      </c>
      <c r="E38" t="n">
        <v>380</v>
      </c>
      <c r="F38" t="inlineStr">
        <is>
          <t>Карта</t>
        </is>
      </c>
      <c r="G38" t="inlineStr">
        <is>
          <t>N</t>
        </is>
      </c>
    </row>
    <row r="39">
      <c r="A39" t="inlineStr">
        <is>
          <t>2026-04-04</t>
        </is>
      </c>
      <c r="B39" t="inlineStr">
        <is>
          <t>OZ-100002012</t>
        </is>
      </c>
      <c r="C39" t="inlineStr">
        <is>
          <t>ABC-LDR-034</t>
        </is>
      </c>
      <c r="D39" t="n">
        <v>118</v>
      </c>
      <c r="E39" t="n">
        <v>720</v>
      </c>
      <c r="F39" t="inlineStr">
        <is>
          <t>Карта</t>
        </is>
      </c>
      <c r="G39" t="inlineStr">
        <is>
          <t>N</t>
        </is>
      </c>
    </row>
    <row r="40">
      <c r="A40" t="inlineStr">
        <is>
          <t>2026-04-04</t>
        </is>
      </c>
      <c r="B40" t="inlineStr">
        <is>
          <t>OZ-100002059</t>
        </is>
      </c>
      <c r="C40" t="inlineStr">
        <is>
          <t>ABC-LDR-034</t>
        </is>
      </c>
      <c r="D40" t="n">
        <v>49</v>
      </c>
      <c r="E40" t="n">
        <v>720</v>
      </c>
      <c r="F40" t="inlineStr">
        <is>
          <t>Wallet</t>
        </is>
      </c>
      <c r="G40" t="inlineStr">
        <is>
          <t>N</t>
        </is>
      </c>
    </row>
    <row r="41">
      <c r="A41" t="inlineStr">
        <is>
          <t>2026-04-04</t>
        </is>
      </c>
      <c r="B41" t="inlineStr">
        <is>
          <t>OZ-100002085</t>
        </is>
      </c>
      <c r="C41" t="inlineStr">
        <is>
          <t>ABC-LDR-034</t>
        </is>
      </c>
      <c r="D41" t="n">
        <v>30</v>
      </c>
      <c r="E41" t="n">
        <v>720</v>
      </c>
      <c r="F41" t="inlineStr">
        <is>
          <t>Ozon Pay</t>
        </is>
      </c>
      <c r="G41" t="inlineStr">
        <is>
          <t>N</t>
        </is>
      </c>
    </row>
    <row r="42">
      <c r="A42" t="inlineStr">
        <is>
          <t>2026-04-04</t>
        </is>
      </c>
      <c r="B42" t="inlineStr">
        <is>
          <t>OZ-100004100</t>
        </is>
      </c>
      <c r="C42" t="inlineStr">
        <is>
          <t>ABC-LDR-027</t>
        </is>
      </c>
      <c r="D42" t="n">
        <v>265</v>
      </c>
      <c r="E42" t="n">
        <v>290</v>
      </c>
      <c r="F42" t="inlineStr">
        <is>
          <t>Ozon Pay</t>
        </is>
      </c>
      <c r="G42" t="inlineStr">
        <is>
          <t>N</t>
        </is>
      </c>
    </row>
    <row r="43">
      <c r="A43" t="inlineStr">
        <is>
          <t>2026-04-04</t>
        </is>
      </c>
      <c r="B43" t="inlineStr">
        <is>
          <t>OZ-100006151</t>
        </is>
      </c>
      <c r="C43" t="inlineStr">
        <is>
          <t>ABC-DSH-018</t>
        </is>
      </c>
      <c r="D43" t="n">
        <v>727</v>
      </c>
      <c r="E43" t="n">
        <v>216</v>
      </c>
      <c r="F43" t="inlineStr">
        <is>
          <t>Ozon Pay</t>
        </is>
      </c>
      <c r="G43" t="inlineStr">
        <is>
          <t>N</t>
        </is>
      </c>
    </row>
    <row r="44">
      <c r="A44" t="inlineStr">
        <is>
          <t>2026-04-04</t>
        </is>
      </c>
      <c r="B44" t="inlineStr">
        <is>
          <t>OZ-100007992</t>
        </is>
      </c>
      <c r="C44" t="inlineStr">
        <is>
          <t>ABC-KIT-051</t>
        </is>
      </c>
      <c r="D44" t="n">
        <v>212</v>
      </c>
      <c r="E44" t="n">
        <v>350</v>
      </c>
      <c r="F44" t="inlineStr">
        <is>
          <t>Карта</t>
        </is>
      </c>
      <c r="G44" t="inlineStr">
        <is>
          <t>N</t>
        </is>
      </c>
    </row>
    <row r="45">
      <c r="A45" t="inlineStr">
        <is>
          <t>2026-04-04</t>
        </is>
      </c>
      <c r="B45" t="inlineStr">
        <is>
          <t>OZ-100010104</t>
        </is>
      </c>
      <c r="C45" t="inlineStr">
        <is>
          <t>ABC-WND-009</t>
        </is>
      </c>
      <c r="D45" t="n">
        <v>73</v>
      </c>
      <c r="E45" t="n">
        <v>220</v>
      </c>
      <c r="F45" t="inlineStr">
        <is>
          <t>Wallet</t>
        </is>
      </c>
      <c r="G45" t="inlineStr">
        <is>
          <t>N</t>
        </is>
      </c>
    </row>
    <row r="46">
      <c r="A46" t="inlineStr">
        <is>
          <t>2026-04-04</t>
        </is>
      </c>
      <c r="B46" t="inlineStr">
        <is>
          <t>OZ-100010142</t>
        </is>
      </c>
      <c r="C46" t="inlineStr">
        <is>
          <t>ABC-WND-009</t>
        </is>
      </c>
      <c r="D46" t="n">
        <v>43</v>
      </c>
      <c r="E46" t="n">
        <v>220</v>
      </c>
      <c r="F46" t="inlineStr">
        <is>
          <t>Ozon Pay</t>
        </is>
      </c>
      <c r="G46" t="inlineStr">
        <is>
          <t>N</t>
        </is>
      </c>
    </row>
    <row r="47">
      <c r="A47" t="inlineStr">
        <is>
          <t>2026-04-04</t>
        </is>
      </c>
      <c r="B47" t="inlineStr">
        <is>
          <t>OZ-100010173</t>
        </is>
      </c>
      <c r="C47" t="inlineStr">
        <is>
          <t>ABC-WND-009</t>
        </is>
      </c>
      <c r="D47" t="n">
        <v>173</v>
      </c>
      <c r="E47" t="n">
        <v>220</v>
      </c>
      <c r="F47" t="inlineStr">
        <is>
          <t>Карта</t>
        </is>
      </c>
      <c r="G47" t="inlineStr">
        <is>
          <t>N</t>
        </is>
      </c>
    </row>
    <row r="48">
      <c r="A48" t="inlineStr">
        <is>
          <t>2026-04-05</t>
        </is>
      </c>
      <c r="B48" t="inlineStr">
        <is>
          <t>OZ-100000166</t>
        </is>
      </c>
      <c r="C48" t="inlineStr">
        <is>
          <t>ABC-CLN-042</t>
        </is>
      </c>
      <c r="D48" t="n">
        <v>219</v>
      </c>
      <c r="E48" t="n">
        <v>342</v>
      </c>
      <c r="F48" t="inlineStr">
        <is>
          <t>Wallet</t>
        </is>
      </c>
      <c r="G48" t="inlineStr">
        <is>
          <t>N</t>
        </is>
      </c>
    </row>
    <row r="49">
      <c r="A49" t="inlineStr">
        <is>
          <t>2026-04-05</t>
        </is>
      </c>
      <c r="B49" t="inlineStr">
        <is>
          <t>OZ-100000201</t>
        </is>
      </c>
      <c r="C49" t="inlineStr">
        <is>
          <t>ABC-CLN-042</t>
        </is>
      </c>
      <c r="D49" t="n">
        <v>131</v>
      </c>
      <c r="E49" t="n">
        <v>342</v>
      </c>
      <c r="F49" t="inlineStr">
        <is>
          <t>Ozon Pay</t>
        </is>
      </c>
      <c r="G49" t="inlineStr">
        <is>
          <t>N</t>
        </is>
      </c>
    </row>
    <row r="50">
      <c r="A50" t="inlineStr">
        <is>
          <t>2026-04-05</t>
        </is>
      </c>
      <c r="B50" t="inlineStr">
        <is>
          <t>OZ-100000218</t>
        </is>
      </c>
      <c r="C50" t="inlineStr">
        <is>
          <t>ABC-CLN-042</t>
        </is>
      </c>
      <c r="D50" t="n">
        <v>524</v>
      </c>
      <c r="E50" t="n">
        <v>342</v>
      </c>
      <c r="F50" t="inlineStr">
        <is>
          <t>Карта</t>
        </is>
      </c>
      <c r="G50" t="inlineStr">
        <is>
          <t>N</t>
        </is>
      </c>
    </row>
    <row r="51">
      <c r="A51" t="inlineStr">
        <is>
          <t>2026-04-05</t>
        </is>
      </c>
      <c r="B51" t="inlineStr">
        <is>
          <t>OZ-100002132</t>
        </is>
      </c>
      <c r="C51" t="inlineStr">
        <is>
          <t>ABC-LDR-034</t>
        </is>
      </c>
      <c r="D51" t="n">
        <v>118</v>
      </c>
      <c r="E51" t="n">
        <v>720</v>
      </c>
      <c r="F51" t="inlineStr">
        <is>
          <t>Карта</t>
        </is>
      </c>
      <c r="G51" t="inlineStr">
        <is>
          <t>N</t>
        </is>
      </c>
    </row>
    <row r="52">
      <c r="A52" t="inlineStr">
        <is>
          <t>2026-04-05</t>
        </is>
      </c>
      <c r="B52" t="inlineStr">
        <is>
          <t>OZ-100002146</t>
        </is>
      </c>
      <c r="C52" t="inlineStr">
        <is>
          <t>ABC-LDR-034</t>
        </is>
      </c>
      <c r="D52" t="n">
        <v>30</v>
      </c>
      <c r="E52" t="n">
        <v>720</v>
      </c>
      <c r="F52" t="inlineStr">
        <is>
          <t>Ozon Pay</t>
        </is>
      </c>
      <c r="G52" t="inlineStr">
        <is>
          <t>N</t>
        </is>
      </c>
    </row>
    <row r="53">
      <c r="A53" t="inlineStr">
        <is>
          <t>2026-04-05</t>
        </is>
      </c>
      <c r="B53" t="inlineStr">
        <is>
          <t>OZ-100002163</t>
        </is>
      </c>
      <c r="C53" t="inlineStr">
        <is>
          <t>ABC-LDR-034</t>
        </is>
      </c>
      <c r="D53" t="n">
        <v>49</v>
      </c>
      <c r="E53" t="n">
        <v>720</v>
      </c>
      <c r="F53" t="inlineStr">
        <is>
          <t>Wallet</t>
        </is>
      </c>
      <c r="G53" t="inlineStr">
        <is>
          <t>N</t>
        </is>
      </c>
    </row>
    <row r="54">
      <c r="A54" t="inlineStr">
        <is>
          <t>2026-04-05</t>
        </is>
      </c>
      <c r="B54" t="inlineStr">
        <is>
          <t>OZ-100004134</t>
        </is>
      </c>
      <c r="C54" t="inlineStr">
        <is>
          <t>ABC-LDR-027</t>
        </is>
      </c>
      <c r="D54" t="n">
        <v>53</v>
      </c>
      <c r="E54" t="n">
        <v>290</v>
      </c>
      <c r="F54" t="inlineStr">
        <is>
          <t>Ozon Pay</t>
        </is>
      </c>
      <c r="G54" t="inlineStr">
        <is>
          <t>N</t>
        </is>
      </c>
    </row>
    <row r="55">
      <c r="A55" t="inlineStr">
        <is>
          <t>2026-04-05</t>
        </is>
      </c>
      <c r="B55" t="inlineStr">
        <is>
          <t>OZ-100004159</t>
        </is>
      </c>
      <c r="C55" t="inlineStr">
        <is>
          <t>ABC-LDR-027</t>
        </is>
      </c>
      <c r="D55" t="n">
        <v>212</v>
      </c>
      <c r="E55" t="n">
        <v>290</v>
      </c>
      <c r="F55" t="inlineStr">
        <is>
          <t>Карта</t>
        </is>
      </c>
      <c r="G55" t="inlineStr">
        <is>
          <t>N</t>
        </is>
      </c>
    </row>
    <row r="56">
      <c r="A56" t="inlineStr">
        <is>
          <t>2026-04-05</t>
        </is>
      </c>
      <c r="B56" t="inlineStr">
        <is>
          <t>OZ-100006191</t>
        </is>
      </c>
      <c r="C56" t="inlineStr">
        <is>
          <t>ABC-DSH-018</t>
        </is>
      </c>
      <c r="D56" t="n">
        <v>109</v>
      </c>
      <c r="E56" t="n">
        <v>216</v>
      </c>
      <c r="F56" t="inlineStr">
        <is>
          <t>Ozon Pay</t>
        </is>
      </c>
      <c r="G56" t="inlineStr">
        <is>
          <t>N</t>
        </is>
      </c>
    </row>
    <row r="57">
      <c r="A57" t="inlineStr">
        <is>
          <t>2026-04-05</t>
        </is>
      </c>
      <c r="B57" t="inlineStr">
        <is>
          <t>OZ-100006205</t>
        </is>
      </c>
      <c r="C57" t="inlineStr">
        <is>
          <t>ABC-DSH-018</t>
        </is>
      </c>
      <c r="D57" t="n">
        <v>436</v>
      </c>
      <c r="E57" t="n">
        <v>216</v>
      </c>
      <c r="F57" t="inlineStr">
        <is>
          <t>Карта</t>
        </is>
      </c>
      <c r="G57" t="inlineStr">
        <is>
          <t>N</t>
        </is>
      </c>
    </row>
    <row r="58">
      <c r="A58" t="inlineStr">
        <is>
          <t>2026-04-05</t>
        </is>
      </c>
      <c r="B58" t="inlineStr">
        <is>
          <t>OZ-100006220</t>
        </is>
      </c>
      <c r="C58" t="inlineStr">
        <is>
          <t>ABC-DSH-018</t>
        </is>
      </c>
      <c r="D58" t="n">
        <v>182</v>
      </c>
      <c r="E58" t="n">
        <v>216</v>
      </c>
      <c r="F58" t="inlineStr">
        <is>
          <t>Wallet</t>
        </is>
      </c>
      <c r="G58" t="inlineStr">
        <is>
          <t>N</t>
        </is>
      </c>
    </row>
    <row r="59">
      <c r="A59" t="inlineStr">
        <is>
          <t>2026-04-05</t>
        </is>
      </c>
      <c r="B59" t="inlineStr">
        <is>
          <t>OZ-100008036</t>
        </is>
      </c>
      <c r="C59" t="inlineStr">
        <is>
          <t>ABC-KIT-051</t>
        </is>
      </c>
      <c r="D59" t="n">
        <v>32</v>
      </c>
      <c r="E59" t="n">
        <v>350</v>
      </c>
      <c r="F59" t="inlineStr">
        <is>
          <t>Ozon Pay</t>
        </is>
      </c>
      <c r="G59" t="inlineStr">
        <is>
          <t>N</t>
        </is>
      </c>
    </row>
    <row r="60">
      <c r="A60" t="inlineStr">
        <is>
          <t>2026-04-05</t>
        </is>
      </c>
      <c r="B60" t="inlineStr">
        <is>
          <t>OZ-100008051</t>
        </is>
      </c>
      <c r="C60" t="inlineStr">
        <is>
          <t>ABC-KIT-051</t>
        </is>
      </c>
      <c r="D60" t="n">
        <v>53</v>
      </c>
      <c r="E60" t="n">
        <v>350</v>
      </c>
      <c r="F60" t="inlineStr">
        <is>
          <t>Wallet</t>
        </is>
      </c>
      <c r="G60" t="inlineStr">
        <is>
          <t>N</t>
        </is>
      </c>
    </row>
    <row r="61">
      <c r="A61" t="inlineStr">
        <is>
          <t>2026-04-05</t>
        </is>
      </c>
      <c r="B61" t="inlineStr">
        <is>
          <t>OZ-100008096</t>
        </is>
      </c>
      <c r="C61" t="inlineStr">
        <is>
          <t>ABC-KIT-051</t>
        </is>
      </c>
      <c r="D61" t="n">
        <v>127</v>
      </c>
      <c r="E61" t="n">
        <v>350</v>
      </c>
      <c r="F61" t="inlineStr">
        <is>
          <t>Карта</t>
        </is>
      </c>
      <c r="G61" t="inlineStr">
        <is>
          <t>N</t>
        </is>
      </c>
    </row>
    <row r="62">
      <c r="A62" t="inlineStr">
        <is>
          <t>2026-04-05</t>
        </is>
      </c>
      <c r="B62" t="inlineStr">
        <is>
          <t>OZ-100010217</t>
        </is>
      </c>
      <c r="C62" t="inlineStr">
        <is>
          <t>ABC-WND-009</t>
        </is>
      </c>
      <c r="D62" t="n">
        <v>289</v>
      </c>
      <c r="E62" t="n">
        <v>220</v>
      </c>
      <c r="F62" t="inlineStr">
        <is>
          <t>Wallet</t>
        </is>
      </c>
      <c r="G62" t="inlineStr">
        <is>
          <t>N</t>
        </is>
      </c>
    </row>
    <row r="63">
      <c r="A63" t="inlineStr">
        <is>
          <t>2026-04-06</t>
        </is>
      </c>
      <c r="B63" t="inlineStr">
        <is>
          <t>OZ-100000238</t>
        </is>
      </c>
      <c r="C63" t="inlineStr">
        <is>
          <t>ABC-CLN-042</t>
        </is>
      </c>
      <c r="D63" t="n">
        <v>257</v>
      </c>
      <c r="E63" t="n">
        <v>342</v>
      </c>
      <c r="F63" t="inlineStr">
        <is>
          <t>Wallet</t>
        </is>
      </c>
      <c r="G63" t="inlineStr">
        <is>
          <t>N</t>
        </is>
      </c>
    </row>
    <row r="64">
      <c r="A64" t="inlineStr">
        <is>
          <t>2026-04-06</t>
        </is>
      </c>
      <c r="B64" t="inlineStr">
        <is>
          <t>OZ-100000283</t>
        </is>
      </c>
      <c r="C64" t="inlineStr">
        <is>
          <t>ABC-CLN-042</t>
        </is>
      </c>
      <c r="D64" t="n">
        <v>617</v>
      </c>
      <c r="E64" t="n">
        <v>342</v>
      </c>
      <c r="F64" t="inlineStr">
        <is>
          <t>Карта</t>
        </is>
      </c>
      <c r="G64" t="inlineStr">
        <is>
          <t>N</t>
        </is>
      </c>
    </row>
    <row r="65">
      <c r="A65" t="inlineStr">
        <is>
          <t>2026-04-06</t>
        </is>
      </c>
      <c r="B65" t="inlineStr">
        <is>
          <t>OZ-100002201</t>
        </is>
      </c>
      <c r="C65" t="inlineStr">
        <is>
          <t>ABC-LDR-034</t>
        </is>
      </c>
      <c r="D65" t="n">
        <v>197</v>
      </c>
      <c r="E65" t="n">
        <v>720</v>
      </c>
      <c r="F65" t="inlineStr">
        <is>
          <t>Карта</t>
        </is>
      </c>
      <c r="G65" t="inlineStr">
        <is>
          <t>N</t>
        </is>
      </c>
    </row>
    <row r="66">
      <c r="A66" t="inlineStr">
        <is>
          <t>2026-04-06</t>
        </is>
      </c>
      <c r="B66" t="inlineStr">
        <is>
          <t>OZ-100004197</t>
        </is>
      </c>
      <c r="C66" t="inlineStr">
        <is>
          <t>ABC-LDR-027</t>
        </is>
      </c>
      <c r="D66" t="n">
        <v>187</v>
      </c>
      <c r="E66" t="n">
        <v>290</v>
      </c>
      <c r="F66" t="inlineStr">
        <is>
          <t>Карта</t>
        </is>
      </c>
      <c r="G66" t="inlineStr">
        <is>
          <t>N</t>
        </is>
      </c>
    </row>
    <row r="67">
      <c r="A67" t="inlineStr">
        <is>
          <t>2026-04-06</t>
        </is>
      </c>
      <c r="B67" t="inlineStr">
        <is>
          <t>OZ-100004218</t>
        </is>
      </c>
      <c r="C67" t="inlineStr">
        <is>
          <t>ABC-LDR-027</t>
        </is>
      </c>
      <c r="D67" t="n">
        <v>78</v>
      </c>
      <c r="E67" t="n">
        <v>290</v>
      </c>
      <c r="F67" t="inlineStr">
        <is>
          <t>Wallet</t>
        </is>
      </c>
      <c r="G67" t="inlineStr">
        <is>
          <t>N</t>
        </is>
      </c>
    </row>
    <row r="68">
      <c r="A68" t="inlineStr">
        <is>
          <t>2026-04-06</t>
        </is>
      </c>
      <c r="B68" t="inlineStr">
        <is>
          <t>OZ-100006262</t>
        </is>
      </c>
      <c r="C68" t="inlineStr">
        <is>
          <t>ABC-DSH-018</t>
        </is>
      </c>
      <c r="D68" t="n">
        <v>455</v>
      </c>
      <c r="E68" t="n">
        <v>240</v>
      </c>
      <c r="F68" t="inlineStr">
        <is>
          <t>Карта</t>
        </is>
      </c>
      <c r="G68" t="inlineStr">
        <is>
          <t>N</t>
        </is>
      </c>
    </row>
    <row r="69">
      <c r="A69" t="inlineStr">
        <is>
          <t>2026-04-06</t>
        </is>
      </c>
      <c r="B69" t="inlineStr">
        <is>
          <t>OZ-100008109</t>
        </is>
      </c>
      <c r="C69" t="inlineStr">
        <is>
          <t>ABC-KIT-051</t>
        </is>
      </c>
      <c r="D69" t="n">
        <v>53</v>
      </c>
      <c r="E69" t="n">
        <v>350</v>
      </c>
      <c r="F69" t="inlineStr">
        <is>
          <t>Wallet</t>
        </is>
      </c>
      <c r="G69" t="inlineStr">
        <is>
          <t>N</t>
        </is>
      </c>
    </row>
    <row r="70">
      <c r="A70" t="inlineStr">
        <is>
          <t>2026-04-06</t>
        </is>
      </c>
      <c r="B70" t="inlineStr">
        <is>
          <t>OZ-100008145</t>
        </is>
      </c>
      <c r="C70" t="inlineStr">
        <is>
          <t>ABC-KIT-051</t>
        </is>
      </c>
      <c r="D70" t="n">
        <v>32</v>
      </c>
      <c r="E70" t="n">
        <v>350</v>
      </c>
      <c r="F70" t="inlineStr">
        <is>
          <t>Ozon Pay</t>
        </is>
      </c>
      <c r="G70" t="inlineStr">
        <is>
          <t>N</t>
        </is>
      </c>
    </row>
    <row r="71">
      <c r="A71" t="inlineStr">
        <is>
          <t>2026-04-06</t>
        </is>
      </c>
      <c r="B71" t="inlineStr">
        <is>
          <t>OZ-100008190</t>
        </is>
      </c>
      <c r="C71" t="inlineStr">
        <is>
          <t>ABC-KIT-051</t>
        </is>
      </c>
      <c r="D71" t="n">
        <v>127</v>
      </c>
      <c r="E71" t="n">
        <v>350</v>
      </c>
      <c r="F71" t="inlineStr">
        <is>
          <t>Карта</t>
        </is>
      </c>
      <c r="G71" t="inlineStr">
        <is>
          <t>N</t>
        </is>
      </c>
    </row>
    <row r="72">
      <c r="A72" t="inlineStr">
        <is>
          <t>2026-04-06</t>
        </is>
      </c>
      <c r="B72" t="inlineStr">
        <is>
          <t>OZ-100010234</t>
        </is>
      </c>
      <c r="C72" t="inlineStr">
        <is>
          <t>ABC-WND-009</t>
        </is>
      </c>
      <c r="D72" t="n">
        <v>174</v>
      </c>
      <c r="E72" t="n">
        <v>220</v>
      </c>
      <c r="F72" t="inlineStr">
        <is>
          <t>Карта</t>
        </is>
      </c>
      <c r="G72" t="inlineStr">
        <is>
          <t>N</t>
        </is>
      </c>
    </row>
    <row r="73">
      <c r="A73" t="inlineStr">
        <is>
          <t>2026-04-06</t>
        </is>
      </c>
      <c r="B73" t="inlineStr">
        <is>
          <t>OZ-100010260</t>
        </is>
      </c>
      <c r="C73" t="inlineStr">
        <is>
          <t>ABC-WND-009</t>
        </is>
      </c>
      <c r="D73" t="n">
        <v>72</v>
      </c>
      <c r="E73" t="n">
        <v>220</v>
      </c>
      <c r="F73" t="inlineStr">
        <is>
          <t>Wallet</t>
        </is>
      </c>
      <c r="G73" t="inlineStr">
        <is>
          <t>N</t>
        </is>
      </c>
    </row>
    <row r="74">
      <c r="A74" t="inlineStr">
        <is>
          <t>2026-04-06</t>
        </is>
      </c>
      <c r="B74" t="inlineStr">
        <is>
          <t>OZ-100010284</t>
        </is>
      </c>
      <c r="C74" t="inlineStr">
        <is>
          <t>ABC-WND-009</t>
        </is>
      </c>
      <c r="D74" t="n">
        <v>43</v>
      </c>
      <c r="E74" t="n">
        <v>220</v>
      </c>
      <c r="F74" t="inlineStr">
        <is>
          <t>Ozon Pay</t>
        </is>
      </c>
      <c r="G74" t="inlineStr">
        <is>
          <t>N</t>
        </is>
      </c>
    </row>
    <row r="75">
      <c r="A75" t="inlineStr">
        <is>
          <t>2026-04-07</t>
        </is>
      </c>
      <c r="B75" t="inlineStr">
        <is>
          <t>OZ-100000302</t>
        </is>
      </c>
      <c r="C75" t="inlineStr">
        <is>
          <t>ABC-CLN-042</t>
        </is>
      </c>
      <c r="D75" t="n">
        <v>874</v>
      </c>
      <c r="E75" t="n">
        <v>342</v>
      </c>
      <c r="F75" t="inlineStr">
        <is>
          <t>Ozon Pay</t>
        </is>
      </c>
      <c r="G75" t="inlineStr">
        <is>
          <t>N</t>
        </is>
      </c>
    </row>
    <row r="76">
      <c r="A76" t="inlineStr">
        <is>
          <t>2026-04-07</t>
        </is>
      </c>
      <c r="B76" t="inlineStr">
        <is>
          <t>OZ-100002239</t>
        </is>
      </c>
      <c r="C76" t="inlineStr">
        <is>
          <t>ABC-LDR-034</t>
        </is>
      </c>
      <c r="D76" t="n">
        <v>30</v>
      </c>
      <c r="E76" t="n">
        <v>720</v>
      </c>
      <c r="F76" t="inlineStr">
        <is>
          <t>Ozon Pay</t>
        </is>
      </c>
      <c r="G76" t="inlineStr">
        <is>
          <t>N</t>
        </is>
      </c>
    </row>
    <row r="77">
      <c r="A77" t="inlineStr">
        <is>
          <t>2026-04-07</t>
        </is>
      </c>
      <c r="B77" t="inlineStr">
        <is>
          <t>OZ-100002260</t>
        </is>
      </c>
      <c r="C77" t="inlineStr">
        <is>
          <t>ABC-LDR-034</t>
        </is>
      </c>
      <c r="D77" t="n">
        <v>118</v>
      </c>
      <c r="E77" t="n">
        <v>720</v>
      </c>
      <c r="F77" t="inlineStr">
        <is>
          <t>Карта</t>
        </is>
      </c>
      <c r="G77" t="inlineStr">
        <is>
          <t>N</t>
        </is>
      </c>
    </row>
    <row r="78">
      <c r="A78" t="inlineStr">
        <is>
          <t>2026-04-07</t>
        </is>
      </c>
      <c r="B78" t="inlineStr">
        <is>
          <t>OZ-100002290</t>
        </is>
      </c>
      <c r="C78" t="inlineStr">
        <is>
          <t>ABC-LDR-034</t>
        </is>
      </c>
      <c r="D78" t="n">
        <v>49</v>
      </c>
      <c r="E78" t="n">
        <v>720</v>
      </c>
      <c r="F78" t="inlineStr">
        <is>
          <t>Wallet</t>
        </is>
      </c>
      <c r="G78" t="inlineStr">
        <is>
          <t>N</t>
        </is>
      </c>
    </row>
    <row r="79">
      <c r="A79" t="inlineStr">
        <is>
          <t>2026-04-07</t>
        </is>
      </c>
      <c r="B79" t="inlineStr">
        <is>
          <t>OZ-100004246</t>
        </is>
      </c>
      <c r="C79" t="inlineStr">
        <is>
          <t>ABC-LDR-027</t>
        </is>
      </c>
      <c r="D79" t="n">
        <v>265</v>
      </c>
      <c r="E79" t="n">
        <v>290</v>
      </c>
      <c r="F79" t="inlineStr">
        <is>
          <t>Wallet</t>
        </is>
      </c>
      <c r="G79" t="inlineStr">
        <is>
          <t>N</t>
        </is>
      </c>
    </row>
    <row r="80">
      <c r="A80" t="inlineStr">
        <is>
          <t>2026-04-07</t>
        </is>
      </c>
      <c r="B80" t="inlineStr">
        <is>
          <t>OZ-100006298</t>
        </is>
      </c>
      <c r="C80" t="inlineStr">
        <is>
          <t>ABC-DSH-018</t>
        </is>
      </c>
      <c r="D80" t="n">
        <v>134</v>
      </c>
      <c r="E80" t="n">
        <v>240</v>
      </c>
      <c r="F80" t="inlineStr">
        <is>
          <t>Wallet</t>
        </is>
      </c>
      <c r="G80" t="inlineStr">
        <is>
          <t>N</t>
        </is>
      </c>
    </row>
    <row r="81">
      <c r="A81" t="inlineStr">
        <is>
          <t>2026-04-07</t>
        </is>
      </c>
      <c r="B81" t="inlineStr">
        <is>
          <t>OZ-100006334</t>
        </is>
      </c>
      <c r="C81" t="inlineStr">
        <is>
          <t>ABC-DSH-018</t>
        </is>
      </c>
      <c r="D81" t="n">
        <v>321</v>
      </c>
      <c r="E81" t="n">
        <v>240</v>
      </c>
      <c r="F81" t="inlineStr">
        <is>
          <t>Карта</t>
        </is>
      </c>
      <c r="G81" t="inlineStr">
        <is>
          <t>N</t>
        </is>
      </c>
    </row>
    <row r="82">
      <c r="A82" t="inlineStr">
        <is>
          <t>2026-04-07</t>
        </is>
      </c>
      <c r="B82" t="inlineStr">
        <is>
          <t>OZ-100008206</t>
        </is>
      </c>
      <c r="C82" t="inlineStr">
        <is>
          <t>ABC-KIT-051</t>
        </is>
      </c>
      <c r="D82" t="n">
        <v>212</v>
      </c>
      <c r="E82" t="n">
        <v>350</v>
      </c>
      <c r="F82" t="inlineStr">
        <is>
          <t>Карта</t>
        </is>
      </c>
      <c r="G82" t="inlineStr">
        <is>
          <t>N</t>
        </is>
      </c>
    </row>
    <row r="83">
      <c r="A83" t="inlineStr">
        <is>
          <t>2026-04-07</t>
        </is>
      </c>
      <c r="B83" t="inlineStr">
        <is>
          <t>OZ-100010306</t>
        </is>
      </c>
      <c r="C83" t="inlineStr">
        <is>
          <t>ABC-WND-009</t>
        </is>
      </c>
      <c r="D83" t="n">
        <v>326</v>
      </c>
      <c r="E83" t="n">
        <v>187</v>
      </c>
      <c r="F83" t="inlineStr">
        <is>
          <t>Карта</t>
        </is>
      </c>
      <c r="G83" t="inlineStr">
        <is>
          <t>N</t>
        </is>
      </c>
    </row>
    <row r="84">
      <c r="A84" t="inlineStr">
        <is>
          <t>2026-04-07</t>
        </is>
      </c>
      <c r="B84" t="inlineStr">
        <is>
          <t>OZ-100010319</t>
        </is>
      </c>
      <c r="C84" t="inlineStr">
        <is>
          <t>ABC-WND-009</t>
        </is>
      </c>
      <c r="D84" t="n">
        <v>136</v>
      </c>
      <c r="E84" t="n">
        <v>187</v>
      </c>
      <c r="F84" t="inlineStr">
        <is>
          <t>Wallet</t>
        </is>
      </c>
      <c r="G84" t="inlineStr">
        <is>
          <t>N</t>
        </is>
      </c>
    </row>
    <row r="85">
      <c r="A85" t="inlineStr">
        <is>
          <t>2026-04-08</t>
        </is>
      </c>
      <c r="B85" t="inlineStr">
        <is>
          <t>OZ-100000333</t>
        </is>
      </c>
      <c r="C85" t="inlineStr">
        <is>
          <t>ABC-CLN-042</t>
        </is>
      </c>
      <c r="D85" t="n">
        <v>257</v>
      </c>
      <c r="E85" t="n">
        <v>342</v>
      </c>
      <c r="F85" t="inlineStr">
        <is>
          <t>Wallet</t>
        </is>
      </c>
      <c r="G85" t="inlineStr">
        <is>
          <t>N</t>
        </is>
      </c>
    </row>
    <row r="86">
      <c r="A86" t="inlineStr">
        <is>
          <t>2026-04-08</t>
        </is>
      </c>
      <c r="B86" t="inlineStr">
        <is>
          <t>OZ-100000348</t>
        </is>
      </c>
      <c r="C86" t="inlineStr">
        <is>
          <t>ABC-CLN-042</t>
        </is>
      </c>
      <c r="D86" t="n">
        <v>617</v>
      </c>
      <c r="E86" t="n">
        <v>342</v>
      </c>
      <c r="F86" t="inlineStr">
        <is>
          <t>Карта</t>
        </is>
      </c>
      <c r="G86" t="inlineStr">
        <is>
          <t>N</t>
        </is>
      </c>
    </row>
    <row r="87">
      <c r="A87" t="inlineStr">
        <is>
          <t>2026-04-08</t>
        </is>
      </c>
      <c r="B87" t="inlineStr">
        <is>
          <t>OZ-100002337</t>
        </is>
      </c>
      <c r="C87" t="inlineStr">
        <is>
          <t>ABC-LDR-034</t>
        </is>
      </c>
      <c r="D87" t="n">
        <v>189</v>
      </c>
      <c r="E87" t="n">
        <v>612</v>
      </c>
      <c r="F87" t="inlineStr">
        <is>
          <t>Карта</t>
        </is>
      </c>
      <c r="G87" t="inlineStr">
        <is>
          <t>N</t>
        </is>
      </c>
    </row>
    <row r="88">
      <c r="A88" t="inlineStr">
        <is>
          <t>2026-04-08</t>
        </is>
      </c>
      <c r="B88" t="inlineStr">
        <is>
          <t>OZ-100002370</t>
        </is>
      </c>
      <c r="C88" t="inlineStr">
        <is>
          <t>ABC-LDR-034</t>
        </is>
      </c>
      <c r="D88" t="n">
        <v>47</v>
      </c>
      <c r="E88" t="n">
        <v>612</v>
      </c>
      <c r="F88" t="inlineStr">
        <is>
          <t>Ozon Pay</t>
        </is>
      </c>
      <c r="G88" t="inlineStr">
        <is>
          <t>N</t>
        </is>
      </c>
    </row>
    <row r="89">
      <c r="A89" t="inlineStr">
        <is>
          <t>2026-04-08</t>
        </is>
      </c>
      <c r="B89" t="inlineStr">
        <is>
          <t>OZ-100002401</t>
        </is>
      </c>
      <c r="C89" t="inlineStr">
        <is>
          <t>ABC-LDR-034</t>
        </is>
      </c>
      <c r="D89" t="n">
        <v>79</v>
      </c>
      <c r="E89" t="n">
        <v>612</v>
      </c>
      <c r="F89" t="inlineStr">
        <is>
          <t>Wallet</t>
        </is>
      </c>
      <c r="G89" t="inlineStr">
        <is>
          <t>N</t>
        </is>
      </c>
    </row>
    <row r="90">
      <c r="A90" t="inlineStr">
        <is>
          <t>2026-04-08</t>
        </is>
      </c>
      <c r="B90" t="inlineStr">
        <is>
          <t>OZ-100003711</t>
        </is>
      </c>
      <c r="C90" t="inlineStr">
        <is>
          <t>ABC-LDR-034</t>
        </is>
      </c>
      <c r="D90" t="n">
        <v>-56</v>
      </c>
      <c r="E90" t="n">
        <v>720</v>
      </c>
      <c r="F90" t="inlineStr">
        <is>
          <t>Карта</t>
        </is>
      </c>
      <c r="G90" t="inlineStr">
        <is>
          <t>Y</t>
        </is>
      </c>
    </row>
    <row r="91">
      <c r="A91" t="inlineStr">
        <is>
          <t>2026-04-08</t>
        </is>
      </c>
      <c r="B91" t="inlineStr">
        <is>
          <t>OZ-100004279</t>
        </is>
      </c>
      <c r="C91" t="inlineStr">
        <is>
          <t>ABC-LDR-027</t>
        </is>
      </c>
      <c r="D91" t="n">
        <v>265</v>
      </c>
      <c r="E91" t="n">
        <v>290</v>
      </c>
      <c r="F91" t="inlineStr">
        <is>
          <t>Карта</t>
        </is>
      </c>
      <c r="G91" t="inlineStr">
        <is>
          <t>N</t>
        </is>
      </c>
    </row>
    <row r="92">
      <c r="A92" t="inlineStr">
        <is>
          <t>2026-04-08</t>
        </is>
      </c>
      <c r="B92" t="inlineStr">
        <is>
          <t>OZ-100006352</t>
        </is>
      </c>
      <c r="C92" t="inlineStr">
        <is>
          <t>ABC-DSH-018</t>
        </is>
      </c>
      <c r="D92" t="n">
        <v>455</v>
      </c>
      <c r="E92" t="n">
        <v>240</v>
      </c>
      <c r="F92" t="inlineStr">
        <is>
          <t>Ozon Pay</t>
        </is>
      </c>
      <c r="G92" t="inlineStr">
        <is>
          <t>N</t>
        </is>
      </c>
    </row>
    <row r="93">
      <c r="A93" t="inlineStr">
        <is>
          <t>2026-04-08</t>
        </is>
      </c>
      <c r="B93" t="inlineStr">
        <is>
          <t>OZ-100008244</t>
        </is>
      </c>
      <c r="C93" t="inlineStr">
        <is>
          <t>ABC-KIT-051</t>
        </is>
      </c>
      <c r="D93" t="n">
        <v>32</v>
      </c>
      <c r="E93" t="n">
        <v>350</v>
      </c>
      <c r="F93" t="inlineStr">
        <is>
          <t>Ozon Pay</t>
        </is>
      </c>
      <c r="G93" t="inlineStr">
        <is>
          <t>N</t>
        </is>
      </c>
    </row>
    <row r="94">
      <c r="A94" t="inlineStr">
        <is>
          <t>2026-04-08</t>
        </is>
      </c>
      <c r="B94" t="inlineStr">
        <is>
          <t>OZ-100008268</t>
        </is>
      </c>
      <c r="C94" t="inlineStr">
        <is>
          <t>ABC-KIT-051</t>
        </is>
      </c>
      <c r="D94" t="n">
        <v>127</v>
      </c>
      <c r="E94" t="n">
        <v>350</v>
      </c>
      <c r="F94" t="inlineStr">
        <is>
          <t>Карта</t>
        </is>
      </c>
      <c r="G94" t="inlineStr">
        <is>
          <t>N</t>
        </is>
      </c>
    </row>
    <row r="95">
      <c r="A95" t="inlineStr">
        <is>
          <t>2026-04-08</t>
        </is>
      </c>
      <c r="B95" t="inlineStr">
        <is>
          <t>OZ-100008302</t>
        </is>
      </c>
      <c r="C95" t="inlineStr">
        <is>
          <t>ABC-KIT-051</t>
        </is>
      </c>
      <c r="D95" t="n">
        <v>53</v>
      </c>
      <c r="E95" t="n">
        <v>350</v>
      </c>
      <c r="F95" t="inlineStr">
        <is>
          <t>Wallet</t>
        </is>
      </c>
      <c r="G95" t="inlineStr">
        <is>
          <t>N</t>
        </is>
      </c>
    </row>
    <row r="96">
      <c r="A96" t="inlineStr">
        <is>
          <t>2026-04-08</t>
        </is>
      </c>
      <c r="B96" t="inlineStr">
        <is>
          <t>OZ-100010338</t>
        </is>
      </c>
      <c r="C96" t="inlineStr">
        <is>
          <t>ABC-WND-009</t>
        </is>
      </c>
      <c r="D96" t="n">
        <v>462</v>
      </c>
      <c r="E96" t="n">
        <v>187</v>
      </c>
      <c r="F96" t="inlineStr">
        <is>
          <t>Wallet</t>
        </is>
      </c>
      <c r="G96" t="inlineStr">
        <is>
          <t>N</t>
        </is>
      </c>
    </row>
    <row r="97">
      <c r="A97" t="inlineStr">
        <is>
          <t>2026-04-09</t>
        </is>
      </c>
      <c r="B97" t="inlineStr">
        <is>
          <t>OZ-100000391</t>
        </is>
      </c>
      <c r="C97" t="inlineStr">
        <is>
          <t>ABC-CLN-042</t>
        </is>
      </c>
      <c r="D97" t="n">
        <v>257</v>
      </c>
      <c r="E97" t="n">
        <v>342</v>
      </c>
      <c r="F97" t="inlineStr">
        <is>
          <t>Wallet</t>
        </is>
      </c>
      <c r="G97" t="inlineStr">
        <is>
          <t>N</t>
        </is>
      </c>
    </row>
    <row r="98">
      <c r="A98" t="inlineStr">
        <is>
          <t>2026-04-09</t>
        </is>
      </c>
      <c r="B98" t="inlineStr">
        <is>
          <t>OZ-100000434</t>
        </is>
      </c>
      <c r="C98" t="inlineStr">
        <is>
          <t>ABC-CLN-042</t>
        </is>
      </c>
      <c r="D98" t="n">
        <v>617</v>
      </c>
      <c r="E98" t="n">
        <v>342</v>
      </c>
      <c r="F98" t="inlineStr">
        <is>
          <t>Карта</t>
        </is>
      </c>
      <c r="G98" t="inlineStr">
        <is>
          <t>N</t>
        </is>
      </c>
    </row>
    <row r="99">
      <c r="A99" t="inlineStr">
        <is>
          <t>2026-04-09</t>
        </is>
      </c>
      <c r="B99" t="inlineStr">
        <is>
          <t>OZ-100002427</t>
        </is>
      </c>
      <c r="C99" t="inlineStr">
        <is>
          <t>ABC-LDR-034</t>
        </is>
      </c>
      <c r="D99" t="n">
        <v>315</v>
      </c>
      <c r="E99" t="n">
        <v>612</v>
      </c>
      <c r="F99" t="inlineStr">
        <is>
          <t>Карта</t>
        </is>
      </c>
      <c r="G99" t="inlineStr">
        <is>
          <t>N</t>
        </is>
      </c>
    </row>
    <row r="100">
      <c r="A100" t="inlineStr">
        <is>
          <t>2026-04-09</t>
        </is>
      </c>
      <c r="B100" t="inlineStr">
        <is>
          <t>OZ-100004313</t>
        </is>
      </c>
      <c r="C100" t="inlineStr">
        <is>
          <t>ABC-LDR-027</t>
        </is>
      </c>
      <c r="D100" t="n">
        <v>166</v>
      </c>
      <c r="E100" t="n">
        <v>290</v>
      </c>
      <c r="F100" t="inlineStr">
        <is>
          <t>Wallet</t>
        </is>
      </c>
      <c r="G100" t="inlineStr">
        <is>
          <t>N</t>
        </is>
      </c>
    </row>
    <row r="101">
      <c r="A101" t="inlineStr">
        <is>
          <t>2026-04-09</t>
        </is>
      </c>
      <c r="B101" t="inlineStr">
        <is>
          <t>OZ-100004328</t>
        </is>
      </c>
      <c r="C101" t="inlineStr">
        <is>
          <t>ABC-LDR-027</t>
        </is>
      </c>
      <c r="D101" t="n">
        <v>99</v>
      </c>
      <c r="E101" t="n">
        <v>290</v>
      </c>
      <c r="F101" t="inlineStr">
        <is>
          <t>Ozon Pay</t>
        </is>
      </c>
      <c r="G101" t="inlineStr">
        <is>
          <t>N</t>
        </is>
      </c>
    </row>
    <row r="102">
      <c r="A102" t="inlineStr">
        <is>
          <t>2026-04-09</t>
        </is>
      </c>
      <c r="B102" t="inlineStr">
        <is>
          <t>OZ-100006390</t>
        </is>
      </c>
      <c r="C102" t="inlineStr">
        <is>
          <t>ABC-DSH-018</t>
        </is>
      </c>
      <c r="D102" t="n">
        <v>364</v>
      </c>
      <c r="E102" t="n">
        <v>240</v>
      </c>
      <c r="F102" t="inlineStr">
        <is>
          <t>Карта</t>
        </is>
      </c>
      <c r="G102" t="inlineStr">
        <is>
          <t>N</t>
        </is>
      </c>
    </row>
    <row r="103">
      <c r="A103" t="inlineStr">
        <is>
          <t>2026-04-09</t>
        </is>
      </c>
      <c r="B103" t="inlineStr">
        <is>
          <t>OZ-100006418</t>
        </is>
      </c>
      <c r="C103" t="inlineStr">
        <is>
          <t>ABC-DSH-018</t>
        </is>
      </c>
      <c r="D103" t="n">
        <v>91</v>
      </c>
      <c r="E103" t="n">
        <v>240</v>
      </c>
      <c r="F103" t="inlineStr">
        <is>
          <t>Ozon Pay</t>
        </is>
      </c>
      <c r="G103" t="inlineStr">
        <is>
          <t>N</t>
        </is>
      </c>
    </row>
    <row r="104">
      <c r="A104" t="inlineStr">
        <is>
          <t>2026-04-09</t>
        </is>
      </c>
      <c r="B104" t="inlineStr">
        <is>
          <t>OZ-100008337</t>
        </is>
      </c>
      <c r="C104" t="inlineStr">
        <is>
          <t>ABC-KIT-051</t>
        </is>
      </c>
      <c r="D104" t="n">
        <v>212</v>
      </c>
      <c r="E104" t="n">
        <v>350</v>
      </c>
      <c r="F104" t="inlineStr">
        <is>
          <t>Wallet</t>
        </is>
      </c>
      <c r="G104" t="inlineStr">
        <is>
          <t>N</t>
        </is>
      </c>
    </row>
    <row r="105">
      <c r="A105" t="inlineStr">
        <is>
          <t>2026-04-09</t>
        </is>
      </c>
      <c r="B105" t="inlineStr">
        <is>
          <t>OZ-100010381</t>
        </is>
      </c>
      <c r="C105" t="inlineStr">
        <is>
          <t>ABC-WND-009</t>
        </is>
      </c>
      <c r="D105" t="n">
        <v>462</v>
      </c>
      <c r="E105" t="n">
        <v>187</v>
      </c>
      <c r="F105" t="inlineStr">
        <is>
          <t>Ozon Pay</t>
        </is>
      </c>
      <c r="G105" t="inlineStr">
        <is>
          <t>N</t>
        </is>
      </c>
    </row>
    <row r="106">
      <c r="A106" t="inlineStr">
        <is>
          <t>2026-04-10</t>
        </is>
      </c>
      <c r="B106" t="inlineStr">
        <is>
          <t>OZ-100000455</t>
        </is>
      </c>
      <c r="C106" t="inlineStr">
        <is>
          <t>ABC-CLN-042</t>
        </is>
      </c>
      <c r="D106" t="n">
        <v>546</v>
      </c>
      <c r="E106" t="n">
        <v>380</v>
      </c>
      <c r="F106" t="inlineStr">
        <is>
          <t>Карта</t>
        </is>
      </c>
      <c r="G106" t="inlineStr">
        <is>
          <t>N</t>
        </is>
      </c>
    </row>
    <row r="107">
      <c r="A107" t="inlineStr">
        <is>
          <t>2026-04-10</t>
        </is>
      </c>
      <c r="B107" t="inlineStr">
        <is>
          <t>OZ-100002441</t>
        </is>
      </c>
      <c r="C107" t="inlineStr">
        <is>
          <t>ABC-LDR-034</t>
        </is>
      </c>
      <c r="D107" t="n">
        <v>315</v>
      </c>
      <c r="E107" t="n">
        <v>612</v>
      </c>
      <c r="F107" t="inlineStr">
        <is>
          <t>Карта</t>
        </is>
      </c>
      <c r="G107" t="inlineStr">
        <is>
          <t>N</t>
        </is>
      </c>
    </row>
    <row r="108">
      <c r="A108" t="inlineStr">
        <is>
          <t>2026-04-10</t>
        </is>
      </c>
      <c r="B108" t="inlineStr">
        <is>
          <t>OZ-100004375</t>
        </is>
      </c>
      <c r="C108" t="inlineStr">
        <is>
          <t>ABC-LDR-027</t>
        </is>
      </c>
      <c r="D108" t="n">
        <v>166</v>
      </c>
      <c r="E108" t="n">
        <v>290</v>
      </c>
      <c r="F108" t="inlineStr">
        <is>
          <t>Wallet</t>
        </is>
      </c>
      <c r="G108" t="inlineStr">
        <is>
          <t>N</t>
        </is>
      </c>
    </row>
    <row r="109">
      <c r="A109" t="inlineStr">
        <is>
          <t>2026-04-10</t>
        </is>
      </c>
      <c r="B109" t="inlineStr">
        <is>
          <t>OZ-100004404</t>
        </is>
      </c>
      <c r="C109" t="inlineStr">
        <is>
          <t>ABC-LDR-027</t>
        </is>
      </c>
      <c r="D109" t="n">
        <v>99</v>
      </c>
      <c r="E109" t="n">
        <v>290</v>
      </c>
      <c r="F109" t="inlineStr">
        <is>
          <t>Ozon Pay</t>
        </is>
      </c>
      <c r="G109" t="inlineStr">
        <is>
          <t>N</t>
        </is>
      </c>
    </row>
    <row r="110">
      <c r="A110" t="inlineStr">
        <is>
          <t>2026-04-10</t>
        </is>
      </c>
      <c r="B110" t="inlineStr">
        <is>
          <t>OZ-100006457</t>
        </is>
      </c>
      <c r="C110" t="inlineStr">
        <is>
          <t>ABC-DSH-018</t>
        </is>
      </c>
      <c r="D110" t="n">
        <v>171</v>
      </c>
      <c r="E110" t="n">
        <v>240</v>
      </c>
      <c r="F110" t="inlineStr">
        <is>
          <t>Ozon Pay</t>
        </is>
      </c>
      <c r="G110" t="inlineStr">
        <is>
          <t>N</t>
        </is>
      </c>
    </row>
    <row r="111">
      <c r="A111" t="inlineStr">
        <is>
          <t>2026-04-10</t>
        </is>
      </c>
      <c r="B111" t="inlineStr">
        <is>
          <t>OZ-100006492</t>
        </is>
      </c>
      <c r="C111" t="inlineStr">
        <is>
          <t>ABC-DSH-018</t>
        </is>
      </c>
      <c r="D111" t="n">
        <v>284</v>
      </c>
      <c r="E111" t="n">
        <v>240</v>
      </c>
      <c r="F111" t="inlineStr">
        <is>
          <t>Wallet</t>
        </is>
      </c>
      <c r="G111" t="inlineStr">
        <is>
          <t>N</t>
        </is>
      </c>
    </row>
    <row r="112">
      <c r="A112" t="inlineStr">
        <is>
          <t>2026-04-10</t>
        </is>
      </c>
      <c r="B112" t="inlineStr">
        <is>
          <t>OZ-100008355</t>
        </is>
      </c>
      <c r="C112" t="inlineStr">
        <is>
          <t>ABC-KIT-051</t>
        </is>
      </c>
      <c r="D112" t="n">
        <v>339</v>
      </c>
      <c r="E112" t="n">
        <v>315</v>
      </c>
      <c r="F112" t="inlineStr">
        <is>
          <t>Карта</t>
        </is>
      </c>
      <c r="G112" t="inlineStr">
        <is>
          <t>N</t>
        </is>
      </c>
    </row>
    <row r="113">
      <c r="A113" t="inlineStr">
        <is>
          <t>2026-04-10</t>
        </is>
      </c>
      <c r="B113" t="inlineStr">
        <is>
          <t>OZ-100009756</t>
        </is>
      </c>
      <c r="C113" t="inlineStr">
        <is>
          <t>ABC-KIT-051</t>
        </is>
      </c>
      <c r="D113" t="n">
        <v>-98</v>
      </c>
      <c r="E113" t="n">
        <v>350</v>
      </c>
      <c r="F113" t="inlineStr">
        <is>
          <t>Ozon Pay</t>
        </is>
      </c>
      <c r="G113" t="inlineStr">
        <is>
          <t>Y</t>
        </is>
      </c>
    </row>
    <row r="114">
      <c r="A114" t="inlineStr">
        <is>
          <t>2026-04-10</t>
        </is>
      </c>
      <c r="B114" t="inlineStr">
        <is>
          <t>OZ-100010399</t>
        </is>
      </c>
      <c r="C114" t="inlineStr">
        <is>
          <t>ABC-WND-009</t>
        </is>
      </c>
      <c r="D114" t="n">
        <v>58</v>
      </c>
      <c r="E114" t="n">
        <v>220</v>
      </c>
      <c r="F114" t="inlineStr">
        <is>
          <t>Ozon Pay</t>
        </is>
      </c>
      <c r="G114" t="inlineStr">
        <is>
          <t>N</t>
        </is>
      </c>
    </row>
    <row r="115">
      <c r="A115" t="inlineStr">
        <is>
          <t>2026-04-10</t>
        </is>
      </c>
      <c r="B115" t="inlineStr">
        <is>
          <t>OZ-100010422</t>
        </is>
      </c>
      <c r="C115" t="inlineStr">
        <is>
          <t>ABC-WND-009</t>
        </is>
      </c>
      <c r="D115" t="n">
        <v>231</v>
      </c>
      <c r="E115" t="n">
        <v>220</v>
      </c>
      <c r="F115" t="inlineStr">
        <is>
          <t>Карта</t>
        </is>
      </c>
      <c r="G115" t="inlineStr">
        <is>
          <t>N</t>
        </is>
      </c>
    </row>
    <row r="116">
      <c r="A116" t="inlineStr">
        <is>
          <t>2026-04-11</t>
        </is>
      </c>
      <c r="B116" t="inlineStr">
        <is>
          <t>OZ-100000471</t>
        </is>
      </c>
      <c r="C116" t="inlineStr">
        <is>
          <t>ABC-CLN-042</t>
        </is>
      </c>
      <c r="D116" t="n">
        <v>109</v>
      </c>
      <c r="E116" t="n">
        <v>380</v>
      </c>
      <c r="F116" t="inlineStr">
        <is>
          <t>Ozon Pay</t>
        </is>
      </c>
      <c r="G116" t="inlineStr">
        <is>
          <t>N</t>
        </is>
      </c>
    </row>
    <row r="117">
      <c r="A117" t="inlineStr">
        <is>
          <t>2026-04-11</t>
        </is>
      </c>
      <c r="B117" t="inlineStr">
        <is>
          <t>OZ-100000486</t>
        </is>
      </c>
      <c r="C117" t="inlineStr">
        <is>
          <t>ABC-CLN-042</t>
        </is>
      </c>
      <c r="D117" t="n">
        <v>437</v>
      </c>
      <c r="E117" t="n">
        <v>380</v>
      </c>
      <c r="F117" t="inlineStr">
        <is>
          <t>Карта</t>
        </is>
      </c>
      <c r="G117" t="inlineStr">
        <is>
          <t>N</t>
        </is>
      </c>
    </row>
    <row r="118">
      <c r="A118" t="inlineStr">
        <is>
          <t>2026-04-11</t>
        </is>
      </c>
      <c r="B118" t="inlineStr">
        <is>
          <t>OZ-100001808</t>
        </is>
      </c>
      <c r="C118" t="inlineStr">
        <is>
          <t>ABC-CLN-042</t>
        </is>
      </c>
      <c r="D118" t="n">
        <v>-228</v>
      </c>
      <c r="E118" t="n">
        <v>342</v>
      </c>
      <c r="F118" t="inlineStr">
        <is>
          <t>Карта</t>
        </is>
      </c>
      <c r="G118" t="inlineStr">
        <is>
          <t>Y</t>
        </is>
      </c>
    </row>
    <row r="119">
      <c r="A119" t="inlineStr">
        <is>
          <t>2026-04-11</t>
        </is>
      </c>
      <c r="B119" t="inlineStr">
        <is>
          <t>OZ-100002465</t>
        </is>
      </c>
      <c r="C119" t="inlineStr">
        <is>
          <t>ABC-LDR-034</t>
        </is>
      </c>
      <c r="D119" t="n">
        <v>315</v>
      </c>
      <c r="E119" t="n">
        <v>612</v>
      </c>
      <c r="F119" t="inlineStr">
        <is>
          <t>Карта</t>
        </is>
      </c>
      <c r="G119" t="inlineStr">
        <is>
          <t>N</t>
        </is>
      </c>
    </row>
    <row r="120">
      <c r="A120" t="inlineStr">
        <is>
          <t>2026-04-11</t>
        </is>
      </c>
      <c r="B120" t="inlineStr">
        <is>
          <t>OZ-100004447</t>
        </is>
      </c>
      <c r="C120" t="inlineStr">
        <is>
          <t>ABC-LDR-027</t>
        </is>
      </c>
      <c r="D120" t="n">
        <v>66</v>
      </c>
      <c r="E120" t="n">
        <v>290</v>
      </c>
      <c r="F120" t="inlineStr">
        <is>
          <t>Wallet</t>
        </is>
      </c>
      <c r="G120" t="inlineStr">
        <is>
          <t>N</t>
        </is>
      </c>
    </row>
    <row r="121">
      <c r="A121" t="inlineStr">
        <is>
          <t>2026-04-11</t>
        </is>
      </c>
      <c r="B121" t="inlineStr">
        <is>
          <t>OZ-100004491</t>
        </is>
      </c>
      <c r="C121" t="inlineStr">
        <is>
          <t>ABC-LDR-027</t>
        </is>
      </c>
      <c r="D121" t="n">
        <v>159</v>
      </c>
      <c r="E121" t="n">
        <v>290</v>
      </c>
      <c r="F121" t="inlineStr">
        <is>
          <t>Карта</t>
        </is>
      </c>
      <c r="G121" t="inlineStr">
        <is>
          <t>N</t>
        </is>
      </c>
    </row>
    <row r="122">
      <c r="A122" t="inlineStr">
        <is>
          <t>2026-04-11</t>
        </is>
      </c>
      <c r="B122" t="inlineStr">
        <is>
          <t>OZ-100004510</t>
        </is>
      </c>
      <c r="C122" t="inlineStr">
        <is>
          <t>ABC-LDR-027</t>
        </is>
      </c>
      <c r="D122" t="n">
        <v>40</v>
      </c>
      <c r="E122" t="n">
        <v>290</v>
      </c>
      <c r="F122" t="inlineStr">
        <is>
          <t>Ozon Pay</t>
        </is>
      </c>
      <c r="G122" t="inlineStr">
        <is>
          <t>N</t>
        </is>
      </c>
    </row>
    <row r="123">
      <c r="A123" t="inlineStr">
        <is>
          <t>2026-04-11</t>
        </is>
      </c>
      <c r="B123" t="inlineStr">
        <is>
          <t>OZ-100006534</t>
        </is>
      </c>
      <c r="C123" t="inlineStr">
        <is>
          <t>ABC-DSH-018</t>
        </is>
      </c>
      <c r="D123" t="n">
        <v>114</v>
      </c>
      <c r="E123" t="n">
        <v>240</v>
      </c>
      <c r="F123" t="inlineStr">
        <is>
          <t>Wallet</t>
        </is>
      </c>
      <c r="G123" t="inlineStr">
        <is>
          <t>N</t>
        </is>
      </c>
    </row>
    <row r="124">
      <c r="A124" t="inlineStr">
        <is>
          <t>2026-04-11</t>
        </is>
      </c>
      <c r="B124" t="inlineStr">
        <is>
          <t>OZ-100006556</t>
        </is>
      </c>
      <c r="C124" t="inlineStr">
        <is>
          <t>ABC-DSH-018</t>
        </is>
      </c>
      <c r="D124" t="n">
        <v>68</v>
      </c>
      <c r="E124" t="n">
        <v>240</v>
      </c>
      <c r="F124" t="inlineStr">
        <is>
          <t>Ozon Pay</t>
        </is>
      </c>
      <c r="G124" t="inlineStr">
        <is>
          <t>N</t>
        </is>
      </c>
    </row>
    <row r="125">
      <c r="A125" t="inlineStr">
        <is>
          <t>2026-04-11</t>
        </is>
      </c>
      <c r="B125" t="inlineStr">
        <is>
          <t>OZ-100006592</t>
        </is>
      </c>
      <c r="C125" t="inlineStr">
        <is>
          <t>ABC-DSH-018</t>
        </is>
      </c>
      <c r="D125" t="n">
        <v>273</v>
      </c>
      <c r="E125" t="n">
        <v>240</v>
      </c>
      <c r="F125" t="inlineStr">
        <is>
          <t>Карта</t>
        </is>
      </c>
      <c r="G125" t="inlineStr">
        <is>
          <t>N</t>
        </is>
      </c>
    </row>
    <row r="126">
      <c r="A126" t="inlineStr">
        <is>
          <t>2026-04-11</t>
        </is>
      </c>
      <c r="B126" t="inlineStr">
        <is>
          <t>OZ-100008386</t>
        </is>
      </c>
      <c r="C126" t="inlineStr">
        <is>
          <t>ABC-KIT-051</t>
        </is>
      </c>
      <c r="D126" t="n">
        <v>339</v>
      </c>
      <c r="E126" t="n">
        <v>315</v>
      </c>
      <c r="F126" t="inlineStr">
        <is>
          <t>Ozon Pay</t>
        </is>
      </c>
      <c r="G126" t="inlineStr">
        <is>
          <t>N</t>
        </is>
      </c>
    </row>
    <row r="127">
      <c r="A127" t="inlineStr">
        <is>
          <t>2026-04-11</t>
        </is>
      </c>
      <c r="B127" t="inlineStr">
        <is>
          <t>OZ-100010450</t>
        </is>
      </c>
      <c r="C127" t="inlineStr">
        <is>
          <t>ABC-WND-009</t>
        </is>
      </c>
      <c r="D127" t="n">
        <v>73</v>
      </c>
      <c r="E127" t="n">
        <v>220</v>
      </c>
      <c r="F127" t="inlineStr">
        <is>
          <t>Wallet</t>
        </is>
      </c>
      <c r="G127" t="inlineStr">
        <is>
          <t>N</t>
        </is>
      </c>
    </row>
    <row r="128">
      <c r="A128" t="inlineStr">
        <is>
          <t>2026-04-11</t>
        </is>
      </c>
      <c r="B128" t="inlineStr">
        <is>
          <t>OZ-100010492</t>
        </is>
      </c>
      <c r="C128" t="inlineStr">
        <is>
          <t>ABC-WND-009</t>
        </is>
      </c>
      <c r="D128" t="n">
        <v>173</v>
      </c>
      <c r="E128" t="n">
        <v>220</v>
      </c>
      <c r="F128" t="inlineStr">
        <is>
          <t>Карта</t>
        </is>
      </c>
      <c r="G128" t="inlineStr">
        <is>
          <t>N</t>
        </is>
      </c>
    </row>
    <row r="129">
      <c r="A129" t="inlineStr">
        <is>
          <t>2026-04-11</t>
        </is>
      </c>
      <c r="B129" t="inlineStr">
        <is>
          <t>OZ-100010510</t>
        </is>
      </c>
      <c r="C129" t="inlineStr">
        <is>
          <t>ABC-WND-009</t>
        </is>
      </c>
      <c r="D129" t="n">
        <v>43</v>
      </c>
      <c r="E129" t="n">
        <v>220</v>
      </c>
      <c r="F129" t="inlineStr">
        <is>
          <t>Ozon Pay</t>
        </is>
      </c>
      <c r="G129" t="inlineStr">
        <is>
          <t>N</t>
        </is>
      </c>
    </row>
    <row r="130">
      <c r="A130" t="inlineStr">
        <is>
          <t>2026-04-12</t>
        </is>
      </c>
      <c r="B130" t="inlineStr">
        <is>
          <t>OZ-100000520</t>
        </is>
      </c>
      <c r="C130" t="inlineStr">
        <is>
          <t>ABC-CLN-042</t>
        </is>
      </c>
      <c r="D130" t="n">
        <v>82</v>
      </c>
      <c r="E130" t="n">
        <v>380</v>
      </c>
      <c r="F130" t="inlineStr">
        <is>
          <t>Ozon Pay</t>
        </is>
      </c>
      <c r="G130" t="inlineStr">
        <is>
          <t>N</t>
        </is>
      </c>
    </row>
    <row r="131">
      <c r="A131" t="inlineStr">
        <is>
          <t>2026-04-12</t>
        </is>
      </c>
      <c r="B131" t="inlineStr">
        <is>
          <t>OZ-100000556</t>
        </is>
      </c>
      <c r="C131" t="inlineStr">
        <is>
          <t>ABC-CLN-042</t>
        </is>
      </c>
      <c r="D131" t="n">
        <v>136</v>
      </c>
      <c r="E131" t="n">
        <v>380</v>
      </c>
      <c r="F131" t="inlineStr">
        <is>
          <t>Wallet</t>
        </is>
      </c>
      <c r="G131" t="inlineStr">
        <is>
          <t>N</t>
        </is>
      </c>
    </row>
    <row r="132">
      <c r="A132" t="inlineStr">
        <is>
          <t>2026-04-12</t>
        </is>
      </c>
      <c r="B132" t="inlineStr">
        <is>
          <t>OZ-100000599</t>
        </is>
      </c>
      <c r="C132" t="inlineStr">
        <is>
          <t>ABC-CLN-042</t>
        </is>
      </c>
      <c r="D132" t="n">
        <v>328</v>
      </c>
      <c r="E132" t="n">
        <v>380</v>
      </c>
      <c r="F132" t="inlineStr">
        <is>
          <t>Карта</t>
        </is>
      </c>
      <c r="G132" t="inlineStr">
        <is>
          <t>N</t>
        </is>
      </c>
    </row>
    <row r="133">
      <c r="A133" t="inlineStr">
        <is>
          <t>2026-04-12</t>
        </is>
      </c>
      <c r="B133" t="inlineStr">
        <is>
          <t>OZ-100002495</t>
        </is>
      </c>
      <c r="C133" t="inlineStr">
        <is>
          <t>ABC-LDR-034</t>
        </is>
      </c>
      <c r="D133" t="n">
        <v>189</v>
      </c>
      <c r="E133" t="n">
        <v>612</v>
      </c>
      <c r="F133" t="inlineStr">
        <is>
          <t>Карта</t>
        </is>
      </c>
      <c r="G133" t="inlineStr">
        <is>
          <t>N</t>
        </is>
      </c>
    </row>
    <row r="134">
      <c r="A134" t="inlineStr">
        <is>
          <t>2026-04-12</t>
        </is>
      </c>
      <c r="B134" t="inlineStr">
        <is>
          <t>OZ-100002532</t>
        </is>
      </c>
      <c r="C134" t="inlineStr">
        <is>
          <t>ABC-LDR-034</t>
        </is>
      </c>
      <c r="D134" t="n">
        <v>47</v>
      </c>
      <c r="E134" t="n">
        <v>612</v>
      </c>
      <c r="F134" t="inlineStr">
        <is>
          <t>Ozon Pay</t>
        </is>
      </c>
      <c r="G134" t="inlineStr">
        <is>
          <t>N</t>
        </is>
      </c>
    </row>
    <row r="135">
      <c r="A135" t="inlineStr">
        <is>
          <t>2026-04-12</t>
        </is>
      </c>
      <c r="B135" t="inlineStr">
        <is>
          <t>OZ-100002568</t>
        </is>
      </c>
      <c r="C135" t="inlineStr">
        <is>
          <t>ABC-LDR-034</t>
        </is>
      </c>
      <c r="D135" t="n">
        <v>79</v>
      </c>
      <c r="E135" t="n">
        <v>612</v>
      </c>
      <c r="F135" t="inlineStr">
        <is>
          <t>Wallet</t>
        </is>
      </c>
      <c r="G135" t="inlineStr">
        <is>
          <t>N</t>
        </is>
      </c>
    </row>
    <row r="136">
      <c r="A136" t="inlineStr">
        <is>
          <t>2026-04-12</t>
        </is>
      </c>
      <c r="B136" t="inlineStr">
        <is>
          <t>OZ-100004541</t>
        </is>
      </c>
      <c r="C136" t="inlineStr">
        <is>
          <t>ABC-LDR-027</t>
        </is>
      </c>
      <c r="D136" t="n">
        <v>78</v>
      </c>
      <c r="E136" t="n">
        <v>290</v>
      </c>
      <c r="F136" t="inlineStr">
        <is>
          <t>Wallet</t>
        </is>
      </c>
      <c r="G136" t="inlineStr">
        <is>
          <t>N</t>
        </is>
      </c>
    </row>
    <row r="137">
      <c r="A137" t="inlineStr">
        <is>
          <t>2026-04-12</t>
        </is>
      </c>
      <c r="B137" t="inlineStr">
        <is>
          <t>OZ-100004587</t>
        </is>
      </c>
      <c r="C137" t="inlineStr">
        <is>
          <t>ABC-LDR-027</t>
        </is>
      </c>
      <c r="D137" t="n">
        <v>187</v>
      </c>
      <c r="E137" t="n">
        <v>290</v>
      </c>
      <c r="F137" t="inlineStr">
        <is>
          <t>Карта</t>
        </is>
      </c>
      <c r="G137" t="inlineStr">
        <is>
          <t>N</t>
        </is>
      </c>
    </row>
    <row r="138">
      <c r="A138" t="inlineStr">
        <is>
          <t>2026-04-12</t>
        </is>
      </c>
      <c r="B138" t="inlineStr">
        <is>
          <t>OZ-100005817</t>
        </is>
      </c>
      <c r="C138" t="inlineStr">
        <is>
          <t>ABC-LDR-027</t>
        </is>
      </c>
      <c r="D138" t="n">
        <v>-53</v>
      </c>
      <c r="E138" t="n">
        <v>290</v>
      </c>
      <c r="F138" t="inlineStr">
        <is>
          <t>Карта</t>
        </is>
      </c>
      <c r="G138" t="inlineStr">
        <is>
          <t>Y</t>
        </is>
      </c>
    </row>
    <row r="139">
      <c r="A139" t="inlineStr">
        <is>
          <t>2026-04-12</t>
        </is>
      </c>
      <c r="B139" t="inlineStr">
        <is>
          <t>OZ-100005902</t>
        </is>
      </c>
      <c r="C139" t="inlineStr">
        <is>
          <t>ABC-LDR-027</t>
        </is>
      </c>
      <c r="D139" t="n">
        <v>-53</v>
      </c>
      <c r="E139" t="n">
        <v>290</v>
      </c>
      <c r="F139" t="inlineStr">
        <is>
          <t>Карта</t>
        </is>
      </c>
      <c r="G139" t="inlineStr">
        <is>
          <t>Y</t>
        </is>
      </c>
    </row>
    <row r="140">
      <c r="A140" t="inlineStr">
        <is>
          <t>2026-04-12</t>
        </is>
      </c>
      <c r="B140" t="inlineStr">
        <is>
          <t>OZ-100006626</t>
        </is>
      </c>
      <c r="C140" t="inlineStr">
        <is>
          <t>ABC-DSH-018</t>
        </is>
      </c>
      <c r="D140" t="n">
        <v>273</v>
      </c>
      <c r="E140" t="n">
        <v>240</v>
      </c>
      <c r="F140" t="inlineStr">
        <is>
          <t>Карта</t>
        </is>
      </c>
      <c r="G140" t="inlineStr">
        <is>
          <t>N</t>
        </is>
      </c>
    </row>
    <row r="141">
      <c r="A141" t="inlineStr">
        <is>
          <t>2026-04-12</t>
        </is>
      </c>
      <c r="B141" t="inlineStr">
        <is>
          <t>OZ-100006656</t>
        </is>
      </c>
      <c r="C141" t="inlineStr">
        <is>
          <t>ABC-DSH-018</t>
        </is>
      </c>
      <c r="D141" t="n">
        <v>114</v>
      </c>
      <c r="E141" t="n">
        <v>240</v>
      </c>
      <c r="F141" t="inlineStr">
        <is>
          <t>Wallet</t>
        </is>
      </c>
      <c r="G141" t="inlineStr">
        <is>
          <t>N</t>
        </is>
      </c>
    </row>
    <row r="142">
      <c r="A142" t="inlineStr">
        <is>
          <t>2026-04-12</t>
        </is>
      </c>
      <c r="B142" t="inlineStr">
        <is>
          <t>OZ-100006671</t>
        </is>
      </c>
      <c r="C142" t="inlineStr">
        <is>
          <t>ABC-DSH-018</t>
        </is>
      </c>
      <c r="D142" t="n">
        <v>68</v>
      </c>
      <c r="E142" t="n">
        <v>240</v>
      </c>
      <c r="F142" t="inlineStr">
        <is>
          <t>Ozon Pay</t>
        </is>
      </c>
      <c r="G142" t="inlineStr">
        <is>
          <t>N</t>
        </is>
      </c>
    </row>
    <row r="143">
      <c r="A143" t="inlineStr">
        <is>
          <t>2026-04-12</t>
        </is>
      </c>
      <c r="B143" t="inlineStr">
        <is>
          <t>OZ-100008417</t>
        </is>
      </c>
      <c r="C143" t="inlineStr">
        <is>
          <t>ABC-KIT-051</t>
        </is>
      </c>
      <c r="D143" t="n">
        <v>127</v>
      </c>
      <c r="E143" t="n">
        <v>315</v>
      </c>
      <c r="F143" t="inlineStr">
        <is>
          <t>Ozon Pay</t>
        </is>
      </c>
      <c r="G143" t="inlineStr">
        <is>
          <t>N</t>
        </is>
      </c>
    </row>
    <row r="144">
      <c r="A144" t="inlineStr">
        <is>
          <t>2026-04-12</t>
        </is>
      </c>
      <c r="B144" t="inlineStr">
        <is>
          <t>OZ-100008442</t>
        </is>
      </c>
      <c r="C144" t="inlineStr">
        <is>
          <t>ABC-KIT-051</t>
        </is>
      </c>
      <c r="D144" t="n">
        <v>212</v>
      </c>
      <c r="E144" t="n">
        <v>315</v>
      </c>
      <c r="F144" t="inlineStr">
        <is>
          <t>Wallet</t>
        </is>
      </c>
      <c r="G144" t="inlineStr">
        <is>
          <t>N</t>
        </is>
      </c>
    </row>
    <row r="145">
      <c r="A145" t="inlineStr">
        <is>
          <t>2026-04-12</t>
        </is>
      </c>
      <c r="B145" t="inlineStr">
        <is>
          <t>OZ-100010534</t>
        </is>
      </c>
      <c r="C145" t="inlineStr">
        <is>
          <t>ABC-WND-009</t>
        </is>
      </c>
      <c r="D145" t="n">
        <v>174</v>
      </c>
      <c r="E145" t="n">
        <v>220</v>
      </c>
      <c r="F145" t="inlineStr">
        <is>
          <t>Карта</t>
        </is>
      </c>
      <c r="G145" t="inlineStr">
        <is>
          <t>N</t>
        </is>
      </c>
    </row>
    <row r="146">
      <c r="A146" t="inlineStr">
        <is>
          <t>2026-04-12</t>
        </is>
      </c>
      <c r="B146" t="inlineStr">
        <is>
          <t>OZ-100010563</t>
        </is>
      </c>
      <c r="C146" t="inlineStr">
        <is>
          <t>ABC-WND-009</t>
        </is>
      </c>
      <c r="D146" t="n">
        <v>43</v>
      </c>
      <c r="E146" t="n">
        <v>220</v>
      </c>
      <c r="F146" t="inlineStr">
        <is>
          <t>Ozon Pay</t>
        </is>
      </c>
      <c r="G146" t="inlineStr">
        <is>
          <t>N</t>
        </is>
      </c>
    </row>
    <row r="147">
      <c r="A147" t="inlineStr">
        <is>
          <t>2026-04-12</t>
        </is>
      </c>
      <c r="B147" t="inlineStr">
        <is>
          <t>OZ-100010606</t>
        </is>
      </c>
      <c r="C147" t="inlineStr">
        <is>
          <t>ABC-WND-009</t>
        </is>
      </c>
      <c r="D147" t="n">
        <v>72</v>
      </c>
      <c r="E147" t="n">
        <v>220</v>
      </c>
      <c r="F147" t="inlineStr">
        <is>
          <t>Wallet</t>
        </is>
      </c>
      <c r="G147" t="inlineStr">
        <is>
          <t>N</t>
        </is>
      </c>
    </row>
    <row r="148">
      <c r="A148" t="inlineStr">
        <is>
          <t>2026-04-13</t>
        </is>
      </c>
      <c r="B148" t="inlineStr">
        <is>
          <t>OZ-100000642</t>
        </is>
      </c>
      <c r="C148" t="inlineStr">
        <is>
          <t>ABC-CLN-042</t>
        </is>
      </c>
      <c r="D148" t="n">
        <v>136</v>
      </c>
      <c r="E148" t="n">
        <v>380</v>
      </c>
      <c r="F148" t="inlineStr">
        <is>
          <t>Wallet</t>
        </is>
      </c>
      <c r="G148" t="inlineStr">
        <is>
          <t>N</t>
        </is>
      </c>
    </row>
    <row r="149">
      <c r="A149" t="inlineStr">
        <is>
          <t>2026-04-13</t>
        </is>
      </c>
      <c r="B149" t="inlineStr">
        <is>
          <t>OZ-100000684</t>
        </is>
      </c>
      <c r="C149" t="inlineStr">
        <is>
          <t>ABC-CLN-042</t>
        </is>
      </c>
      <c r="D149" t="n">
        <v>328</v>
      </c>
      <c r="E149" t="n">
        <v>380</v>
      </c>
      <c r="F149" t="inlineStr">
        <is>
          <t>Карта</t>
        </is>
      </c>
      <c r="G149" t="inlineStr">
        <is>
          <t>N</t>
        </is>
      </c>
    </row>
    <row r="150">
      <c r="A150" t="inlineStr">
        <is>
          <t>2026-04-13</t>
        </is>
      </c>
      <c r="B150" t="inlineStr">
        <is>
          <t>OZ-100000719</t>
        </is>
      </c>
      <c r="C150" t="inlineStr">
        <is>
          <t>ABC-CLN-042</t>
        </is>
      </c>
      <c r="D150" t="n">
        <v>82</v>
      </c>
      <c r="E150" t="n">
        <v>380</v>
      </c>
      <c r="F150" t="inlineStr">
        <is>
          <t>Ozon Pay</t>
        </is>
      </c>
      <c r="G150" t="inlineStr">
        <is>
          <t>N</t>
        </is>
      </c>
    </row>
    <row r="151">
      <c r="A151" t="inlineStr">
        <is>
          <t>2026-04-13</t>
        </is>
      </c>
      <c r="B151" t="inlineStr">
        <is>
          <t>OZ-100002598</t>
        </is>
      </c>
      <c r="C151" t="inlineStr">
        <is>
          <t>ABC-LDR-034</t>
        </is>
      </c>
      <c r="D151" t="n">
        <v>197</v>
      </c>
      <c r="E151" t="n">
        <v>720</v>
      </c>
      <c r="F151" t="inlineStr">
        <is>
          <t>Ozon Pay</t>
        </is>
      </c>
      <c r="G151" t="inlineStr">
        <is>
          <t>N</t>
        </is>
      </c>
    </row>
    <row r="152">
      <c r="A152" t="inlineStr">
        <is>
          <t>2026-04-13</t>
        </is>
      </c>
      <c r="B152" t="inlineStr">
        <is>
          <t>OZ-100004600</t>
        </is>
      </c>
      <c r="C152" t="inlineStr">
        <is>
          <t>ABC-LDR-027</t>
        </is>
      </c>
      <c r="D152" t="n">
        <v>265</v>
      </c>
      <c r="E152" t="n">
        <v>290</v>
      </c>
      <c r="F152" t="inlineStr">
        <is>
          <t>Wallet</t>
        </is>
      </c>
      <c r="G152" t="inlineStr">
        <is>
          <t>N</t>
        </is>
      </c>
    </row>
    <row r="153">
      <c r="A153" t="inlineStr">
        <is>
          <t>2026-04-13</t>
        </is>
      </c>
      <c r="B153" t="inlineStr">
        <is>
          <t>OZ-100006685</t>
        </is>
      </c>
      <c r="C153" t="inlineStr">
        <is>
          <t>ABC-DSH-018</t>
        </is>
      </c>
      <c r="D153" t="n">
        <v>455</v>
      </c>
      <c r="E153" t="n">
        <v>240</v>
      </c>
      <c r="F153" t="inlineStr">
        <is>
          <t>Карта</t>
        </is>
      </c>
      <c r="G153" t="inlineStr">
        <is>
          <t>N</t>
        </is>
      </c>
    </row>
    <row r="154">
      <c r="A154" t="inlineStr">
        <is>
          <t>2026-04-13</t>
        </is>
      </c>
      <c r="B154" t="inlineStr">
        <is>
          <t>OZ-100008476</t>
        </is>
      </c>
      <c r="C154" t="inlineStr">
        <is>
          <t>ABC-KIT-051</t>
        </is>
      </c>
      <c r="D154" t="n">
        <v>203</v>
      </c>
      <c r="E154" t="n">
        <v>315</v>
      </c>
      <c r="F154" t="inlineStr">
        <is>
          <t>Карта</t>
        </is>
      </c>
      <c r="G154" t="inlineStr">
        <is>
          <t>N</t>
        </is>
      </c>
    </row>
    <row r="155">
      <c r="A155" t="inlineStr">
        <is>
          <t>2026-04-13</t>
        </is>
      </c>
      <c r="B155" t="inlineStr">
        <is>
          <t>OZ-100008514</t>
        </is>
      </c>
      <c r="C155" t="inlineStr">
        <is>
          <t>ABC-KIT-051</t>
        </is>
      </c>
      <c r="D155" t="n">
        <v>51</v>
      </c>
      <c r="E155" t="n">
        <v>315</v>
      </c>
      <c r="F155" t="inlineStr">
        <is>
          <t>Ozon Pay</t>
        </is>
      </c>
      <c r="G155" t="inlineStr">
        <is>
          <t>N</t>
        </is>
      </c>
    </row>
    <row r="156">
      <c r="A156" t="inlineStr">
        <is>
          <t>2026-04-13</t>
        </is>
      </c>
      <c r="B156" t="inlineStr">
        <is>
          <t>OZ-100008553</t>
        </is>
      </c>
      <c r="C156" t="inlineStr">
        <is>
          <t>ABC-KIT-051</t>
        </is>
      </c>
      <c r="D156" t="n">
        <v>85</v>
      </c>
      <c r="E156" t="n">
        <v>315</v>
      </c>
      <c r="F156" t="inlineStr">
        <is>
          <t>Wallet</t>
        </is>
      </c>
      <c r="G156" t="inlineStr">
        <is>
          <t>N</t>
        </is>
      </c>
    </row>
    <row r="157">
      <c r="A157" t="inlineStr">
        <is>
          <t>2026-04-13</t>
        </is>
      </c>
      <c r="B157" t="inlineStr">
        <is>
          <t>OZ-100010642</t>
        </is>
      </c>
      <c r="C157" t="inlineStr">
        <is>
          <t>ABC-WND-009</t>
        </is>
      </c>
      <c r="D157" t="n">
        <v>174</v>
      </c>
      <c r="E157" t="n">
        <v>220</v>
      </c>
      <c r="F157" t="inlineStr">
        <is>
          <t>Карта</t>
        </is>
      </c>
      <c r="G157" t="inlineStr">
        <is>
          <t>N</t>
        </is>
      </c>
    </row>
    <row r="158">
      <c r="A158" t="inlineStr">
        <is>
          <t>2026-04-13</t>
        </is>
      </c>
      <c r="B158" t="inlineStr">
        <is>
          <t>OZ-100010655</t>
        </is>
      </c>
      <c r="C158" t="inlineStr">
        <is>
          <t>ABC-WND-009</t>
        </is>
      </c>
      <c r="D158" t="n">
        <v>72</v>
      </c>
      <c r="E158" t="n">
        <v>220</v>
      </c>
      <c r="F158" t="inlineStr">
        <is>
          <t>Wallet</t>
        </is>
      </c>
      <c r="G158" t="inlineStr">
        <is>
          <t>N</t>
        </is>
      </c>
    </row>
    <row r="159">
      <c r="A159" t="inlineStr">
        <is>
          <t>2026-04-13</t>
        </is>
      </c>
      <c r="B159" t="inlineStr">
        <is>
          <t>OZ-100010674</t>
        </is>
      </c>
      <c r="C159" t="inlineStr">
        <is>
          <t>ABC-WND-009</t>
        </is>
      </c>
      <c r="D159" t="n">
        <v>43</v>
      </c>
      <c r="E159" t="n">
        <v>220</v>
      </c>
      <c r="F159" t="inlineStr">
        <is>
          <t>Ozon Pay</t>
        </is>
      </c>
      <c r="G159" t="inlineStr">
        <is>
          <t>N</t>
        </is>
      </c>
    </row>
    <row r="160">
      <c r="A160" t="inlineStr">
        <is>
          <t>2026-04-14</t>
        </is>
      </c>
      <c r="B160" t="inlineStr">
        <is>
          <t>OZ-100000742</t>
        </is>
      </c>
      <c r="C160" t="inlineStr">
        <is>
          <t>ABC-CLN-042</t>
        </is>
      </c>
      <c r="D160" t="n">
        <v>82</v>
      </c>
      <c r="E160" t="n">
        <v>380</v>
      </c>
      <c r="F160" t="inlineStr">
        <is>
          <t>Ozon Pay</t>
        </is>
      </c>
      <c r="G160" t="inlineStr">
        <is>
          <t>N</t>
        </is>
      </c>
    </row>
    <row r="161">
      <c r="A161" t="inlineStr">
        <is>
          <t>2026-04-14</t>
        </is>
      </c>
      <c r="B161" t="inlineStr">
        <is>
          <t>OZ-100000755</t>
        </is>
      </c>
      <c r="C161" t="inlineStr">
        <is>
          <t>ABC-CLN-042</t>
        </is>
      </c>
      <c r="D161" t="n">
        <v>328</v>
      </c>
      <c r="E161" t="n">
        <v>380</v>
      </c>
      <c r="F161" t="inlineStr">
        <is>
          <t>Карта</t>
        </is>
      </c>
      <c r="G161" t="inlineStr">
        <is>
          <t>N</t>
        </is>
      </c>
    </row>
    <row r="162">
      <c r="A162" t="inlineStr">
        <is>
          <t>2026-04-14</t>
        </is>
      </c>
      <c r="B162" t="inlineStr">
        <is>
          <t>OZ-100000782</t>
        </is>
      </c>
      <c r="C162" t="inlineStr">
        <is>
          <t>ABC-CLN-042</t>
        </is>
      </c>
      <c r="D162" t="n">
        <v>136</v>
      </c>
      <c r="E162" t="n">
        <v>380</v>
      </c>
      <c r="F162" t="inlineStr">
        <is>
          <t>Wallet</t>
        </is>
      </c>
      <c r="G162" t="inlineStr">
        <is>
          <t>N</t>
        </is>
      </c>
    </row>
    <row r="163">
      <c r="A163" t="inlineStr">
        <is>
          <t>2026-04-14</t>
        </is>
      </c>
      <c r="B163" t="inlineStr">
        <is>
          <t>OZ-100001729</t>
        </is>
      </c>
      <c r="C163" t="inlineStr">
        <is>
          <t>ABC-CLN-042</t>
        </is>
      </c>
      <c r="D163" t="n">
        <v>-228</v>
      </c>
      <c r="E163" t="n">
        <v>380</v>
      </c>
      <c r="F163" t="inlineStr">
        <is>
          <t>Ozon Pay</t>
        </is>
      </c>
      <c r="G163" t="inlineStr">
        <is>
          <t>Y</t>
        </is>
      </c>
    </row>
    <row r="164">
      <c r="A164" t="inlineStr">
        <is>
          <t>2026-04-14</t>
        </is>
      </c>
      <c r="B164" t="inlineStr">
        <is>
          <t>OZ-100002627</t>
        </is>
      </c>
      <c r="C164" t="inlineStr">
        <is>
          <t>ABC-LDR-034</t>
        </is>
      </c>
      <c r="D164" t="n">
        <v>197</v>
      </c>
      <c r="E164" t="n">
        <v>720</v>
      </c>
      <c r="F164" t="inlineStr">
        <is>
          <t>Wallet</t>
        </is>
      </c>
      <c r="G164" t="inlineStr">
        <is>
          <t>N</t>
        </is>
      </c>
    </row>
    <row r="165">
      <c r="A165" t="inlineStr">
        <is>
          <t>2026-04-14</t>
        </is>
      </c>
      <c r="B165" t="inlineStr">
        <is>
          <t>OZ-100004632</t>
        </is>
      </c>
      <c r="C165" t="inlineStr">
        <is>
          <t>ABC-LDR-027</t>
        </is>
      </c>
      <c r="D165" t="n">
        <v>159</v>
      </c>
      <c r="E165" t="n">
        <v>290</v>
      </c>
      <c r="F165" t="inlineStr">
        <is>
          <t>Карта</t>
        </is>
      </c>
      <c r="G165" t="inlineStr">
        <is>
          <t>N</t>
        </is>
      </c>
    </row>
    <row r="166">
      <c r="A166" t="inlineStr">
        <is>
          <t>2026-04-14</t>
        </is>
      </c>
      <c r="B166" t="inlineStr">
        <is>
          <t>OZ-100004660</t>
        </is>
      </c>
      <c r="C166" t="inlineStr">
        <is>
          <t>ABC-LDR-027</t>
        </is>
      </c>
      <c r="D166" t="n">
        <v>40</v>
      </c>
      <c r="E166" t="n">
        <v>290</v>
      </c>
      <c r="F166" t="inlineStr">
        <is>
          <t>Ozon Pay</t>
        </is>
      </c>
      <c r="G166" t="inlineStr">
        <is>
          <t>N</t>
        </is>
      </c>
    </row>
    <row r="167">
      <c r="A167" t="inlineStr">
        <is>
          <t>2026-04-14</t>
        </is>
      </c>
      <c r="B167" t="inlineStr">
        <is>
          <t>OZ-100004706</t>
        </is>
      </c>
      <c r="C167" t="inlineStr">
        <is>
          <t>ABC-LDR-027</t>
        </is>
      </c>
      <c r="D167" t="n">
        <v>66</v>
      </c>
      <c r="E167" t="n">
        <v>290</v>
      </c>
      <c r="F167" t="inlineStr">
        <is>
          <t>Wallet</t>
        </is>
      </c>
      <c r="G167" t="inlineStr">
        <is>
          <t>N</t>
        </is>
      </c>
    </row>
    <row r="168">
      <c r="A168" t="inlineStr">
        <is>
          <t>2026-04-14</t>
        </is>
      </c>
      <c r="B168" t="inlineStr">
        <is>
          <t>OZ-100006725</t>
        </is>
      </c>
      <c r="C168" t="inlineStr">
        <is>
          <t>ABC-DSH-018</t>
        </is>
      </c>
      <c r="D168" t="n">
        <v>114</v>
      </c>
      <c r="E168" t="n">
        <v>240</v>
      </c>
      <c r="F168" t="inlineStr">
        <is>
          <t>Wallet</t>
        </is>
      </c>
      <c r="G168" t="inlineStr">
        <is>
          <t>N</t>
        </is>
      </c>
    </row>
    <row r="169">
      <c r="A169" t="inlineStr">
        <is>
          <t>2026-04-14</t>
        </is>
      </c>
      <c r="B169" t="inlineStr">
        <is>
          <t>OZ-100006740</t>
        </is>
      </c>
      <c r="C169" t="inlineStr">
        <is>
          <t>ABC-DSH-018</t>
        </is>
      </c>
      <c r="D169" t="n">
        <v>68</v>
      </c>
      <c r="E169" t="n">
        <v>240</v>
      </c>
      <c r="F169" t="inlineStr">
        <is>
          <t>Ozon Pay</t>
        </is>
      </c>
      <c r="G169" t="inlineStr">
        <is>
          <t>N</t>
        </is>
      </c>
    </row>
    <row r="170">
      <c r="A170" t="inlineStr">
        <is>
          <t>2026-04-14</t>
        </is>
      </c>
      <c r="B170" t="inlineStr">
        <is>
          <t>OZ-100006778</t>
        </is>
      </c>
      <c r="C170" t="inlineStr">
        <is>
          <t>ABC-DSH-018</t>
        </is>
      </c>
      <c r="D170" t="n">
        <v>273</v>
      </c>
      <c r="E170" t="n">
        <v>240</v>
      </c>
      <c r="F170" t="inlineStr">
        <is>
          <t>Карта</t>
        </is>
      </c>
      <c r="G170" t="inlineStr">
        <is>
          <t>N</t>
        </is>
      </c>
    </row>
    <row r="171">
      <c r="A171" t="inlineStr">
        <is>
          <t>2026-04-14</t>
        </is>
      </c>
      <c r="B171" t="inlineStr">
        <is>
          <t>OZ-100008596</t>
        </is>
      </c>
      <c r="C171" t="inlineStr">
        <is>
          <t>ABC-KIT-051</t>
        </is>
      </c>
      <c r="D171" t="n">
        <v>239</v>
      </c>
      <c r="E171" t="n">
        <v>315</v>
      </c>
      <c r="F171" t="inlineStr">
        <is>
          <t>Карта</t>
        </is>
      </c>
      <c r="G171" t="inlineStr">
        <is>
          <t>N</t>
        </is>
      </c>
    </row>
    <row r="172">
      <c r="A172" t="inlineStr">
        <is>
          <t>2026-04-14</t>
        </is>
      </c>
      <c r="B172" t="inlineStr">
        <is>
          <t>OZ-100008617</t>
        </is>
      </c>
      <c r="C172" t="inlineStr">
        <is>
          <t>ABC-KIT-051</t>
        </is>
      </c>
      <c r="D172" t="n">
        <v>100</v>
      </c>
      <c r="E172" t="n">
        <v>315</v>
      </c>
      <c r="F172" t="inlineStr">
        <is>
          <t>Wallet</t>
        </is>
      </c>
      <c r="G172" t="inlineStr">
        <is>
          <t>N</t>
        </is>
      </c>
    </row>
    <row r="173">
      <c r="A173" t="inlineStr">
        <is>
          <t>2026-04-14</t>
        </is>
      </c>
      <c r="B173" t="inlineStr">
        <is>
          <t>OZ-100009789</t>
        </is>
      </c>
      <c r="C173" t="inlineStr">
        <is>
          <t>ABC-KIT-051</t>
        </is>
      </c>
      <c r="D173" t="n">
        <v>-98</v>
      </c>
      <c r="E173" t="n">
        <v>350</v>
      </c>
      <c r="F173" t="inlineStr">
        <is>
          <t>Wallet</t>
        </is>
      </c>
      <c r="G173" t="inlineStr">
        <is>
          <t>Y</t>
        </is>
      </c>
    </row>
    <row r="174">
      <c r="A174" t="inlineStr">
        <is>
          <t>2026-04-14</t>
        </is>
      </c>
      <c r="B174" t="inlineStr">
        <is>
          <t>OZ-100009859</t>
        </is>
      </c>
      <c r="C174" t="inlineStr">
        <is>
          <t>ABC-KIT-051</t>
        </is>
      </c>
      <c r="D174" t="n">
        <v>-98</v>
      </c>
      <c r="E174" t="n">
        <v>350</v>
      </c>
      <c r="F174" t="inlineStr">
        <is>
          <t>Карта</t>
        </is>
      </c>
      <c r="G174" t="inlineStr">
        <is>
          <t>Y</t>
        </is>
      </c>
    </row>
    <row r="175">
      <c r="A175" t="inlineStr">
        <is>
          <t>2026-04-14</t>
        </is>
      </c>
      <c r="B175" t="inlineStr">
        <is>
          <t>OZ-100010721</t>
        </is>
      </c>
      <c r="C175" t="inlineStr">
        <is>
          <t>ABC-WND-009</t>
        </is>
      </c>
      <c r="D175" t="n">
        <v>73</v>
      </c>
      <c r="E175" t="n">
        <v>220</v>
      </c>
      <c r="F175" t="inlineStr">
        <is>
          <t>Wallet</t>
        </is>
      </c>
      <c r="G175" t="inlineStr">
        <is>
          <t>N</t>
        </is>
      </c>
    </row>
    <row r="176">
      <c r="A176" t="inlineStr">
        <is>
          <t>2026-04-14</t>
        </is>
      </c>
      <c r="B176" t="inlineStr">
        <is>
          <t>OZ-100010737</t>
        </is>
      </c>
      <c r="C176" t="inlineStr">
        <is>
          <t>ABC-WND-009</t>
        </is>
      </c>
      <c r="D176" t="n">
        <v>43</v>
      </c>
      <c r="E176" t="n">
        <v>220</v>
      </c>
      <c r="F176" t="inlineStr">
        <is>
          <t>Ozon Pay</t>
        </is>
      </c>
      <c r="G176" t="inlineStr">
        <is>
          <t>N</t>
        </is>
      </c>
    </row>
    <row r="177">
      <c r="A177" t="inlineStr">
        <is>
          <t>2026-04-14</t>
        </is>
      </c>
      <c r="B177" t="inlineStr">
        <is>
          <t>OZ-100010772</t>
        </is>
      </c>
      <c r="C177" t="inlineStr">
        <is>
          <t>ABC-WND-009</t>
        </is>
      </c>
      <c r="D177" t="n">
        <v>173</v>
      </c>
      <c r="E177" t="n">
        <v>220</v>
      </c>
      <c r="F177" t="inlineStr">
        <is>
          <t>Карта</t>
        </is>
      </c>
      <c r="G177" t="inlineStr">
        <is>
          <t>N</t>
        </is>
      </c>
    </row>
    <row r="178">
      <c r="A178" t="inlineStr">
        <is>
          <t>2026-04-15</t>
        </is>
      </c>
      <c r="B178" t="inlineStr">
        <is>
          <t>OZ-100000829</t>
        </is>
      </c>
      <c r="C178" t="inlineStr">
        <is>
          <t>ABC-CLN-042</t>
        </is>
      </c>
      <c r="D178" t="n">
        <v>542</v>
      </c>
      <c r="E178" t="n">
        <v>380</v>
      </c>
      <c r="F178" t="inlineStr">
        <is>
          <t>Ozon Pay</t>
        </is>
      </c>
      <c r="G178" t="inlineStr">
        <is>
          <t>N</t>
        </is>
      </c>
    </row>
    <row r="179">
      <c r="A179" t="inlineStr">
        <is>
          <t>2026-04-15</t>
        </is>
      </c>
      <c r="B179" t="inlineStr">
        <is>
          <t>OZ-100002670</t>
        </is>
      </c>
      <c r="C179" t="inlineStr">
        <is>
          <t>ABC-LDR-034</t>
        </is>
      </c>
      <c r="D179" t="n">
        <v>158</v>
      </c>
      <c r="E179" t="n">
        <v>720</v>
      </c>
      <c r="F179" t="inlineStr">
        <is>
          <t>Карта</t>
        </is>
      </c>
      <c r="G179" t="inlineStr">
        <is>
          <t>N</t>
        </is>
      </c>
    </row>
    <row r="180">
      <c r="A180" t="inlineStr">
        <is>
          <t>2026-04-15</t>
        </is>
      </c>
      <c r="B180" t="inlineStr">
        <is>
          <t>OZ-100002694</t>
        </is>
      </c>
      <c r="C180" t="inlineStr">
        <is>
          <t>ABC-LDR-034</t>
        </is>
      </c>
      <c r="D180" t="n">
        <v>39</v>
      </c>
      <c r="E180" t="n">
        <v>720</v>
      </c>
      <c r="F180" t="inlineStr">
        <is>
          <t>Ozon Pay</t>
        </is>
      </c>
      <c r="G180" t="inlineStr">
        <is>
          <t>N</t>
        </is>
      </c>
    </row>
    <row r="181">
      <c r="A181" t="inlineStr">
        <is>
          <t>2026-04-15</t>
        </is>
      </c>
      <c r="B181" t="inlineStr">
        <is>
          <t>OZ-100004736</t>
        </is>
      </c>
      <c r="C181" t="inlineStr">
        <is>
          <t>ABC-LDR-027</t>
        </is>
      </c>
      <c r="D181" t="n">
        <v>261</v>
      </c>
      <c r="E181" t="n">
        <v>261</v>
      </c>
      <c r="F181" t="inlineStr">
        <is>
          <t>Карта</t>
        </is>
      </c>
      <c r="G181" t="inlineStr">
        <is>
          <t>N</t>
        </is>
      </c>
    </row>
    <row r="182">
      <c r="A182" t="inlineStr">
        <is>
          <t>2026-04-15</t>
        </is>
      </c>
      <c r="B182" t="inlineStr">
        <is>
          <t>OZ-100004749</t>
        </is>
      </c>
      <c r="C182" t="inlineStr">
        <is>
          <t>ABC-LDR-027</t>
        </is>
      </c>
      <c r="D182" t="n">
        <v>109</v>
      </c>
      <c r="E182" t="n">
        <v>261</v>
      </c>
      <c r="F182" t="inlineStr">
        <is>
          <t>Wallet</t>
        </is>
      </c>
      <c r="G182" t="inlineStr">
        <is>
          <t>N</t>
        </is>
      </c>
    </row>
    <row r="183">
      <c r="A183" t="inlineStr">
        <is>
          <t>2026-04-15</t>
        </is>
      </c>
      <c r="B183" t="inlineStr">
        <is>
          <t>OZ-100004763</t>
        </is>
      </c>
      <c r="C183" t="inlineStr">
        <is>
          <t>ABC-LDR-027</t>
        </is>
      </c>
      <c r="D183" t="n">
        <v>65</v>
      </c>
      <c r="E183" t="n">
        <v>261</v>
      </c>
      <c r="F183" t="inlineStr">
        <is>
          <t>Ozon Pay</t>
        </is>
      </c>
      <c r="G183" t="inlineStr">
        <is>
          <t>N</t>
        </is>
      </c>
    </row>
    <row r="184">
      <c r="A184" t="inlineStr">
        <is>
          <t>2026-04-15</t>
        </is>
      </c>
      <c r="B184" t="inlineStr">
        <is>
          <t>OZ-100006796</t>
        </is>
      </c>
      <c r="C184" t="inlineStr">
        <is>
          <t>ABC-DSH-018</t>
        </is>
      </c>
      <c r="D184" t="n">
        <v>445</v>
      </c>
      <c r="E184" t="n">
        <v>240</v>
      </c>
      <c r="F184" t="inlineStr">
        <is>
          <t>Ozon Pay</t>
        </is>
      </c>
      <c r="G184" t="inlineStr">
        <is>
          <t>N</t>
        </is>
      </c>
    </row>
    <row r="185">
      <c r="A185" t="inlineStr">
        <is>
          <t>2026-04-15</t>
        </is>
      </c>
      <c r="B185" t="inlineStr">
        <is>
          <t>OZ-100007732</t>
        </is>
      </c>
      <c r="C185" t="inlineStr">
        <is>
          <t>ABC-DSH-018</t>
        </is>
      </c>
      <c r="D185" t="n">
        <v>-150</v>
      </c>
      <c r="E185" t="n">
        <v>240</v>
      </c>
      <c r="F185" t="inlineStr">
        <is>
          <t>Ozon Pay</t>
        </is>
      </c>
      <c r="G185" t="inlineStr">
        <is>
          <t>Y</t>
        </is>
      </c>
    </row>
    <row r="186">
      <c r="A186" t="inlineStr">
        <is>
          <t>2026-04-15</t>
        </is>
      </c>
      <c r="B186" t="inlineStr">
        <is>
          <t>OZ-100008642</t>
        </is>
      </c>
      <c r="C186" t="inlineStr">
        <is>
          <t>ABC-KIT-051</t>
        </is>
      </c>
      <c r="D186" t="n">
        <v>43</v>
      </c>
      <c r="E186" t="n">
        <v>350</v>
      </c>
      <c r="F186" t="inlineStr">
        <is>
          <t>Ozon Pay</t>
        </is>
      </c>
      <c r="G186" t="inlineStr">
        <is>
          <t>N</t>
        </is>
      </c>
    </row>
    <row r="187">
      <c r="A187" t="inlineStr">
        <is>
          <t>2026-04-15</t>
        </is>
      </c>
      <c r="B187" t="inlineStr">
        <is>
          <t>OZ-100008688</t>
        </is>
      </c>
      <c r="C187" t="inlineStr">
        <is>
          <t>ABC-KIT-051</t>
        </is>
      </c>
      <c r="D187" t="n">
        <v>174</v>
      </c>
      <c r="E187" t="n">
        <v>350</v>
      </c>
      <c r="F187" t="inlineStr">
        <is>
          <t>Карта</t>
        </is>
      </c>
      <c r="G187" t="inlineStr">
        <is>
          <t>N</t>
        </is>
      </c>
    </row>
    <row r="188">
      <c r="A188" t="inlineStr">
        <is>
          <t>2026-04-15</t>
        </is>
      </c>
      <c r="B188" t="inlineStr">
        <is>
          <t>OZ-100010791</t>
        </is>
      </c>
      <c r="C188" t="inlineStr">
        <is>
          <t>ABC-WND-009</t>
        </is>
      </c>
      <c r="D188" t="n">
        <v>169</v>
      </c>
      <c r="E188" t="n">
        <v>220</v>
      </c>
      <c r="F188" t="inlineStr">
        <is>
          <t>Карта</t>
        </is>
      </c>
      <c r="G188" t="inlineStr">
        <is>
          <t>N</t>
        </is>
      </c>
    </row>
    <row r="189">
      <c r="A189" t="inlineStr">
        <is>
          <t>2026-04-15</t>
        </is>
      </c>
      <c r="B189" t="inlineStr">
        <is>
          <t>OZ-100010817</t>
        </is>
      </c>
      <c r="C189" t="inlineStr">
        <is>
          <t>ABC-WND-009</t>
        </is>
      </c>
      <c r="D189" t="n">
        <v>70</v>
      </c>
      <c r="E189" t="n">
        <v>220</v>
      </c>
      <c r="F189" t="inlineStr">
        <is>
          <t>Wallet</t>
        </is>
      </c>
      <c r="G189" t="inlineStr">
        <is>
          <t>N</t>
        </is>
      </c>
    </row>
    <row r="190">
      <c r="A190" t="inlineStr">
        <is>
          <t>2026-04-15</t>
        </is>
      </c>
      <c r="B190" t="inlineStr">
        <is>
          <t>OZ-100010861</t>
        </is>
      </c>
      <c r="C190" t="inlineStr">
        <is>
          <t>ABC-WND-009</t>
        </is>
      </c>
      <c r="D190" t="n">
        <v>42</v>
      </c>
      <c r="E190" t="n">
        <v>220</v>
      </c>
      <c r="F190" t="inlineStr">
        <is>
          <t>Ozon Pay</t>
        </is>
      </c>
      <c r="G190" t="inlineStr">
        <is>
          <t>N</t>
        </is>
      </c>
    </row>
    <row r="191">
      <c r="A191" t="inlineStr">
        <is>
          <t>2026-04-15</t>
        </is>
      </c>
      <c r="B191" t="inlineStr">
        <is>
          <t>OZ-100011683</t>
        </is>
      </c>
      <c r="C191" t="inlineStr">
        <is>
          <t>ABC-WND-009</t>
        </is>
      </c>
      <c r="D191" t="n">
        <v>-97</v>
      </c>
      <c r="E191" t="n">
        <v>220</v>
      </c>
      <c r="F191" t="inlineStr">
        <is>
          <t>Ozon Pay</t>
        </is>
      </c>
      <c r="G191" t="inlineStr">
        <is>
          <t>Y</t>
        </is>
      </c>
    </row>
    <row r="192">
      <c r="A192" t="inlineStr">
        <is>
          <t>2026-04-15</t>
        </is>
      </c>
      <c r="B192" t="inlineStr">
        <is>
          <t>OZ-100011886</t>
        </is>
      </c>
      <c r="C192" t="inlineStr">
        <is>
          <t>ABC-WND-009</t>
        </is>
      </c>
      <c r="D192" t="n">
        <v>-97</v>
      </c>
      <c r="E192" t="n">
        <v>220</v>
      </c>
      <c r="F192" t="inlineStr">
        <is>
          <t>Wallet</t>
        </is>
      </c>
      <c r="G192" t="inlineStr">
        <is>
          <t>Y</t>
        </is>
      </c>
    </row>
    <row r="193">
      <c r="A193" t="inlineStr">
        <is>
          <t>2026-04-16</t>
        </is>
      </c>
      <c r="B193" t="inlineStr">
        <is>
          <t>OZ-100000867</t>
        </is>
      </c>
      <c r="C193" t="inlineStr">
        <is>
          <t>ABC-CLN-042</t>
        </is>
      </c>
      <c r="D193" t="n">
        <v>161</v>
      </c>
      <c r="E193" t="n">
        <v>380</v>
      </c>
      <c r="F193" t="inlineStr">
        <is>
          <t>Wallet</t>
        </is>
      </c>
      <c r="G193" t="inlineStr">
        <is>
          <t>N</t>
        </is>
      </c>
    </row>
    <row r="194">
      <c r="A194" t="inlineStr">
        <is>
          <t>2026-04-16</t>
        </is>
      </c>
      <c r="B194" t="inlineStr">
        <is>
          <t>OZ-100000887</t>
        </is>
      </c>
      <c r="C194" t="inlineStr">
        <is>
          <t>ABC-CLN-042</t>
        </is>
      </c>
      <c r="D194" t="n">
        <v>385</v>
      </c>
      <c r="E194" t="n">
        <v>380</v>
      </c>
      <c r="F194" t="inlineStr">
        <is>
          <t>Карта</t>
        </is>
      </c>
      <c r="G194" t="inlineStr">
        <is>
          <t>N</t>
        </is>
      </c>
    </row>
    <row r="195">
      <c r="A195" t="inlineStr">
        <is>
          <t>2026-04-16</t>
        </is>
      </c>
      <c r="B195" t="inlineStr">
        <is>
          <t>OZ-100002737</t>
        </is>
      </c>
      <c r="C195" t="inlineStr">
        <is>
          <t>ABC-LDR-034</t>
        </is>
      </c>
      <c r="D195" t="n">
        <v>123</v>
      </c>
      <c r="E195" t="n">
        <v>720</v>
      </c>
      <c r="F195" t="inlineStr">
        <is>
          <t>Wallet</t>
        </is>
      </c>
      <c r="G195" t="inlineStr">
        <is>
          <t>N</t>
        </is>
      </c>
    </row>
    <row r="196">
      <c r="A196" t="inlineStr">
        <is>
          <t>2026-04-16</t>
        </is>
      </c>
      <c r="B196" t="inlineStr">
        <is>
          <t>OZ-100002768</t>
        </is>
      </c>
      <c r="C196" t="inlineStr">
        <is>
          <t>ABC-LDR-034</t>
        </is>
      </c>
      <c r="D196" t="n">
        <v>74</v>
      </c>
      <c r="E196" t="n">
        <v>720</v>
      </c>
      <c r="F196" t="inlineStr">
        <is>
          <t>Ozon Pay</t>
        </is>
      </c>
      <c r="G196" t="inlineStr">
        <is>
          <t>N</t>
        </is>
      </c>
    </row>
    <row r="197">
      <c r="A197" t="inlineStr">
        <is>
          <t>2026-04-16</t>
        </is>
      </c>
      <c r="B197" t="inlineStr">
        <is>
          <t>OZ-100004791</t>
        </is>
      </c>
      <c r="C197" t="inlineStr">
        <is>
          <t>ABC-LDR-027</t>
        </is>
      </c>
      <c r="D197" t="n">
        <v>255</v>
      </c>
      <c r="E197" t="n">
        <v>261</v>
      </c>
      <c r="F197" t="inlineStr">
        <is>
          <t>Карта</t>
        </is>
      </c>
      <c r="G197" t="inlineStr">
        <is>
          <t>N</t>
        </is>
      </c>
    </row>
    <row r="198">
      <c r="A198" t="inlineStr">
        <is>
          <t>2026-04-16</t>
        </is>
      </c>
      <c r="B198" t="inlineStr">
        <is>
          <t>OZ-100004818</t>
        </is>
      </c>
      <c r="C198" t="inlineStr">
        <is>
          <t>ABC-LDR-027</t>
        </is>
      </c>
      <c r="D198" t="n">
        <v>106</v>
      </c>
      <c r="E198" t="n">
        <v>261</v>
      </c>
      <c r="F198" t="inlineStr">
        <is>
          <t>Wallet</t>
        </is>
      </c>
      <c r="G198" t="inlineStr">
        <is>
          <t>N</t>
        </is>
      </c>
    </row>
    <row r="199">
      <c r="A199" t="inlineStr">
        <is>
          <t>2026-04-16</t>
        </is>
      </c>
      <c r="B199" t="inlineStr">
        <is>
          <t>OZ-100004865</t>
        </is>
      </c>
      <c r="C199" t="inlineStr">
        <is>
          <t>ABC-LDR-027</t>
        </is>
      </c>
      <c r="D199" t="n">
        <v>64</v>
      </c>
      <c r="E199" t="n">
        <v>261</v>
      </c>
      <c r="F199" t="inlineStr">
        <is>
          <t>Ozon Pay</t>
        </is>
      </c>
      <c r="G199" t="inlineStr">
        <is>
          <t>N</t>
        </is>
      </c>
    </row>
    <row r="200">
      <c r="A200" t="inlineStr">
        <is>
          <t>2026-04-16</t>
        </is>
      </c>
      <c r="B200" t="inlineStr">
        <is>
          <t>OZ-100006811</t>
        </is>
      </c>
      <c r="C200" t="inlineStr">
        <is>
          <t>ABC-DSH-018</t>
        </is>
      </c>
      <c r="D200" t="n">
        <v>91</v>
      </c>
      <c r="E200" t="n">
        <v>240</v>
      </c>
      <c r="F200" t="inlineStr">
        <is>
          <t>Ozon Pay</t>
        </is>
      </c>
      <c r="G200" t="inlineStr">
        <is>
          <t>N</t>
        </is>
      </c>
    </row>
    <row r="201">
      <c r="A201" t="inlineStr">
        <is>
          <t>2026-04-16</t>
        </is>
      </c>
      <c r="B201" t="inlineStr">
        <is>
          <t>OZ-100006829</t>
        </is>
      </c>
      <c r="C201" t="inlineStr">
        <is>
          <t>ABC-DSH-018</t>
        </is>
      </c>
      <c r="D201" t="n">
        <v>364</v>
      </c>
      <c r="E201" t="n">
        <v>240</v>
      </c>
      <c r="F201" t="inlineStr">
        <is>
          <t>Карта</t>
        </is>
      </c>
      <c r="G201" t="inlineStr">
        <is>
          <t>N</t>
        </is>
      </c>
    </row>
    <row r="202">
      <c r="A202" t="inlineStr">
        <is>
          <t>2026-04-16</t>
        </is>
      </c>
      <c r="B202" t="inlineStr">
        <is>
          <t>OZ-100008731</t>
        </is>
      </c>
      <c r="C202" t="inlineStr">
        <is>
          <t>ABC-KIT-051</t>
        </is>
      </c>
      <c r="D202" t="n">
        <v>42</v>
      </c>
      <c r="E202" t="n">
        <v>350</v>
      </c>
      <c r="F202" t="inlineStr">
        <is>
          <t>Ozon Pay</t>
        </is>
      </c>
      <c r="G202" t="inlineStr">
        <is>
          <t>N</t>
        </is>
      </c>
    </row>
    <row r="203">
      <c r="A203" t="inlineStr">
        <is>
          <t>2026-04-16</t>
        </is>
      </c>
      <c r="B203" t="inlineStr">
        <is>
          <t>OZ-100008745</t>
        </is>
      </c>
      <c r="C203" t="inlineStr">
        <is>
          <t>ABC-KIT-051</t>
        </is>
      </c>
      <c r="D203" t="n">
        <v>170</v>
      </c>
      <c r="E203" t="n">
        <v>350</v>
      </c>
      <c r="F203" t="inlineStr">
        <is>
          <t>Карта</t>
        </is>
      </c>
      <c r="G203" t="inlineStr">
        <is>
          <t>N</t>
        </is>
      </c>
    </row>
    <row r="204">
      <c r="A204" t="inlineStr">
        <is>
          <t>2026-04-16</t>
        </is>
      </c>
      <c r="B204" t="inlineStr">
        <is>
          <t>OZ-100010880</t>
        </is>
      </c>
      <c r="C204" t="inlineStr">
        <is>
          <t>ABC-WND-009</t>
        </is>
      </c>
      <c r="D204" t="n">
        <v>73</v>
      </c>
      <c r="E204" t="n">
        <v>220</v>
      </c>
      <c r="F204" t="inlineStr">
        <is>
          <t>Wallet</t>
        </is>
      </c>
      <c r="G204" t="inlineStr">
        <is>
          <t>N</t>
        </is>
      </c>
    </row>
    <row r="205">
      <c r="A205" t="inlineStr">
        <is>
          <t>2026-04-16</t>
        </is>
      </c>
      <c r="B205" t="inlineStr">
        <is>
          <t>OZ-100010910</t>
        </is>
      </c>
      <c r="C205" t="inlineStr">
        <is>
          <t>ABC-WND-009</t>
        </is>
      </c>
      <c r="D205" t="n">
        <v>43</v>
      </c>
      <c r="E205" t="n">
        <v>220</v>
      </c>
      <c r="F205" t="inlineStr">
        <is>
          <t>Ozon Pay</t>
        </is>
      </c>
      <c r="G205" t="inlineStr">
        <is>
          <t>N</t>
        </is>
      </c>
    </row>
    <row r="206">
      <c r="A206" t="inlineStr">
        <is>
          <t>2026-04-16</t>
        </is>
      </c>
      <c r="B206" t="inlineStr">
        <is>
          <t>OZ-100010927</t>
        </is>
      </c>
      <c r="C206" t="inlineStr">
        <is>
          <t>ABC-WND-009</t>
        </is>
      </c>
      <c r="D206" t="n">
        <v>173</v>
      </c>
      <c r="E206" t="n">
        <v>220</v>
      </c>
      <c r="F206" t="inlineStr">
        <is>
          <t>Карта</t>
        </is>
      </c>
      <c r="G206" t="inlineStr">
        <is>
          <t>N</t>
        </is>
      </c>
    </row>
    <row r="207">
      <c r="A207" t="inlineStr">
        <is>
          <t>2026-04-17</t>
        </is>
      </c>
      <c r="B207" t="inlineStr">
        <is>
          <t>OZ-100000914</t>
        </is>
      </c>
      <c r="C207" t="inlineStr">
        <is>
          <t>ABC-CLN-042</t>
        </is>
      </c>
      <c r="D207" t="n">
        <v>161</v>
      </c>
      <c r="E207" t="n">
        <v>380</v>
      </c>
      <c r="F207" t="inlineStr">
        <is>
          <t>Wallet</t>
        </is>
      </c>
      <c r="G207" t="inlineStr">
        <is>
          <t>N</t>
        </is>
      </c>
    </row>
    <row r="208">
      <c r="A208" t="inlineStr">
        <is>
          <t>2026-04-17</t>
        </is>
      </c>
      <c r="B208" t="inlineStr">
        <is>
          <t>OZ-100000930</t>
        </is>
      </c>
      <c r="C208" t="inlineStr">
        <is>
          <t>ABC-CLN-042</t>
        </is>
      </c>
      <c r="D208" t="n">
        <v>385</v>
      </c>
      <c r="E208" t="n">
        <v>380</v>
      </c>
      <c r="F208" t="inlineStr">
        <is>
          <t>Карта</t>
        </is>
      </c>
      <c r="G208" t="inlineStr">
        <is>
          <t>N</t>
        </is>
      </c>
    </row>
    <row r="209">
      <c r="A209" t="inlineStr">
        <is>
          <t>2026-04-17</t>
        </is>
      </c>
      <c r="B209" t="inlineStr">
        <is>
          <t>OZ-100002812</t>
        </is>
      </c>
      <c r="C209" t="inlineStr">
        <is>
          <t>ABC-LDR-034</t>
        </is>
      </c>
      <c r="D209" t="n">
        <v>74</v>
      </c>
      <c r="E209" t="n">
        <v>720</v>
      </c>
      <c r="F209" t="inlineStr">
        <is>
          <t>Ozon Pay</t>
        </is>
      </c>
      <c r="G209" t="inlineStr">
        <is>
          <t>N</t>
        </is>
      </c>
    </row>
    <row r="210">
      <c r="A210" t="inlineStr">
        <is>
          <t>2026-04-17</t>
        </is>
      </c>
      <c r="B210" t="inlineStr">
        <is>
          <t>OZ-100002849</t>
        </is>
      </c>
      <c r="C210" t="inlineStr">
        <is>
          <t>ABC-LDR-034</t>
        </is>
      </c>
      <c r="D210" t="n">
        <v>123</v>
      </c>
      <c r="E210" t="n">
        <v>720</v>
      </c>
      <c r="F210" t="inlineStr">
        <is>
          <t>Wallet</t>
        </is>
      </c>
      <c r="G210" t="inlineStr">
        <is>
          <t>N</t>
        </is>
      </c>
    </row>
    <row r="211">
      <c r="A211" t="inlineStr">
        <is>
          <t>2026-04-17</t>
        </is>
      </c>
      <c r="B211" t="inlineStr">
        <is>
          <t>OZ-100003756</t>
        </is>
      </c>
      <c r="C211" t="inlineStr">
        <is>
          <t>ABC-LDR-034</t>
        </is>
      </c>
      <c r="D211" t="n">
        <v>-56</v>
      </c>
      <c r="E211" t="n">
        <v>720</v>
      </c>
      <c r="F211" t="inlineStr">
        <is>
          <t>Wallet</t>
        </is>
      </c>
      <c r="G211" t="inlineStr">
        <is>
          <t>Y</t>
        </is>
      </c>
    </row>
    <row r="212">
      <c r="A212" t="inlineStr">
        <is>
          <t>2026-04-17</t>
        </is>
      </c>
      <c r="B212" t="inlineStr">
        <is>
          <t>OZ-100004897</t>
        </is>
      </c>
      <c r="C212" t="inlineStr">
        <is>
          <t>ABC-LDR-027</t>
        </is>
      </c>
      <c r="D212" t="n">
        <v>425</v>
      </c>
      <c r="E212" t="n">
        <v>261</v>
      </c>
      <c r="F212" t="inlineStr">
        <is>
          <t>Wallet</t>
        </is>
      </c>
      <c r="G212" t="inlineStr">
        <is>
          <t>N</t>
        </is>
      </c>
    </row>
    <row r="213">
      <c r="A213" t="inlineStr">
        <is>
          <t>2026-04-17</t>
        </is>
      </c>
      <c r="B213" t="inlineStr">
        <is>
          <t>OZ-100006846</t>
        </is>
      </c>
      <c r="C213" t="inlineStr">
        <is>
          <t>ABC-DSH-018</t>
        </is>
      </c>
      <c r="D213" t="n">
        <v>273</v>
      </c>
      <c r="E213" t="n">
        <v>240</v>
      </c>
      <c r="F213" t="inlineStr">
        <is>
          <t>Карта</t>
        </is>
      </c>
      <c r="G213" t="inlineStr">
        <is>
          <t>N</t>
        </is>
      </c>
    </row>
    <row r="214">
      <c r="A214" t="inlineStr">
        <is>
          <t>2026-04-17</t>
        </is>
      </c>
      <c r="B214" t="inlineStr">
        <is>
          <t>OZ-100006860</t>
        </is>
      </c>
      <c r="C214" t="inlineStr">
        <is>
          <t>ABC-DSH-018</t>
        </is>
      </c>
      <c r="D214" t="n">
        <v>68</v>
      </c>
      <c r="E214" t="n">
        <v>240</v>
      </c>
      <c r="F214" t="inlineStr">
        <is>
          <t>Ozon Pay</t>
        </is>
      </c>
      <c r="G214" t="inlineStr">
        <is>
          <t>N</t>
        </is>
      </c>
    </row>
    <row r="215">
      <c r="A215" t="inlineStr">
        <is>
          <t>2026-04-17</t>
        </is>
      </c>
      <c r="B215" t="inlineStr">
        <is>
          <t>OZ-100006889</t>
        </is>
      </c>
      <c r="C215" t="inlineStr">
        <is>
          <t>ABC-DSH-018</t>
        </is>
      </c>
      <c r="D215" t="n">
        <v>114</v>
      </c>
      <c r="E215" t="n">
        <v>240</v>
      </c>
      <c r="F215" t="inlineStr">
        <is>
          <t>Wallet</t>
        </is>
      </c>
      <c r="G215" t="inlineStr">
        <is>
          <t>N</t>
        </is>
      </c>
    </row>
    <row r="216">
      <c r="A216" t="inlineStr">
        <is>
          <t>2026-04-17</t>
        </is>
      </c>
      <c r="B216" t="inlineStr">
        <is>
          <t>OZ-100008777</t>
        </is>
      </c>
      <c r="C216" t="inlineStr">
        <is>
          <t>ABC-KIT-051</t>
        </is>
      </c>
      <c r="D216" t="n">
        <v>212</v>
      </c>
      <c r="E216" t="n">
        <v>350</v>
      </c>
      <c r="F216" t="inlineStr">
        <is>
          <t>Wallet</t>
        </is>
      </c>
      <c r="G216" t="inlineStr">
        <is>
          <t>N</t>
        </is>
      </c>
    </row>
    <row r="217">
      <c r="A217" t="inlineStr">
        <is>
          <t>2026-04-17</t>
        </is>
      </c>
      <c r="B217" t="inlineStr">
        <is>
          <t>OZ-100010953</t>
        </is>
      </c>
      <c r="C217" t="inlineStr">
        <is>
          <t>ABC-WND-009</t>
        </is>
      </c>
      <c r="D217" t="n">
        <v>289</v>
      </c>
      <c r="E217" t="n">
        <v>220</v>
      </c>
      <c r="F217" t="inlineStr">
        <is>
          <t>Wallet</t>
        </is>
      </c>
      <c r="G217" t="inlineStr">
        <is>
          <t>N</t>
        </is>
      </c>
    </row>
    <row r="218">
      <c r="A218" t="inlineStr">
        <is>
          <t>2026-04-18</t>
        </is>
      </c>
      <c r="B218" t="inlineStr">
        <is>
          <t>OZ-100000950</t>
        </is>
      </c>
      <c r="C218" t="inlineStr">
        <is>
          <t>ABC-CLN-042</t>
        </is>
      </c>
      <c r="D218" t="n">
        <v>385</v>
      </c>
      <c r="E218" t="n">
        <v>380</v>
      </c>
      <c r="F218" t="inlineStr">
        <is>
          <t>Карта</t>
        </is>
      </c>
      <c r="G218" t="inlineStr">
        <is>
          <t>N</t>
        </is>
      </c>
    </row>
    <row r="219">
      <c r="A219" t="inlineStr">
        <is>
          <t>2026-04-18</t>
        </is>
      </c>
      <c r="B219" t="inlineStr">
        <is>
          <t>OZ-100000972</t>
        </is>
      </c>
      <c r="C219" t="inlineStr">
        <is>
          <t>ABC-CLN-042</t>
        </is>
      </c>
      <c r="D219" t="n">
        <v>161</v>
      </c>
      <c r="E219" t="n">
        <v>380</v>
      </c>
      <c r="F219" t="inlineStr">
        <is>
          <t>Wallet</t>
        </is>
      </c>
      <c r="G219" t="inlineStr">
        <is>
          <t>N</t>
        </is>
      </c>
    </row>
    <row r="220">
      <c r="A220" t="inlineStr">
        <is>
          <t>2026-04-18</t>
        </is>
      </c>
      <c r="B220" t="inlineStr">
        <is>
          <t>OZ-100002879</t>
        </is>
      </c>
      <c r="C220" t="inlineStr">
        <is>
          <t>ABC-LDR-034</t>
        </is>
      </c>
      <c r="D220" t="n">
        <v>58</v>
      </c>
      <c r="E220" t="n">
        <v>720</v>
      </c>
      <c r="F220" t="inlineStr">
        <is>
          <t>Wallet</t>
        </is>
      </c>
      <c r="G220" t="inlineStr">
        <is>
          <t>N</t>
        </is>
      </c>
    </row>
    <row r="221">
      <c r="A221" t="inlineStr">
        <is>
          <t>2026-04-18</t>
        </is>
      </c>
      <c r="B221" t="inlineStr">
        <is>
          <t>OZ-100002904</t>
        </is>
      </c>
      <c r="C221" t="inlineStr">
        <is>
          <t>ABC-LDR-034</t>
        </is>
      </c>
      <c r="D221" t="n">
        <v>139</v>
      </c>
      <c r="E221" t="n">
        <v>720</v>
      </c>
      <c r="F221" t="inlineStr">
        <is>
          <t>Карта</t>
        </is>
      </c>
      <c r="G221" t="inlineStr">
        <is>
          <t>N</t>
        </is>
      </c>
    </row>
    <row r="222">
      <c r="A222" t="inlineStr">
        <is>
          <t>2026-04-18</t>
        </is>
      </c>
      <c r="B222" t="inlineStr">
        <is>
          <t>OZ-100003697</t>
        </is>
      </c>
      <c r="C222" t="inlineStr">
        <is>
          <t>ABC-LDR-034</t>
        </is>
      </c>
      <c r="D222" t="n">
        <v>-56</v>
      </c>
      <c r="E222" t="n">
        <v>720</v>
      </c>
      <c r="F222" t="inlineStr">
        <is>
          <t>Ozon Pay</t>
        </is>
      </c>
      <c r="G222" t="inlineStr">
        <is>
          <t>Y</t>
        </is>
      </c>
    </row>
    <row r="223">
      <c r="A223" t="inlineStr">
        <is>
          <t>2026-04-18</t>
        </is>
      </c>
      <c r="B223" t="inlineStr">
        <is>
          <t>OZ-100004929</t>
        </is>
      </c>
      <c r="C223" t="inlineStr">
        <is>
          <t>ABC-LDR-027</t>
        </is>
      </c>
      <c r="D223" t="n">
        <v>106</v>
      </c>
      <c r="E223" t="n">
        <v>261</v>
      </c>
      <c r="F223" t="inlineStr">
        <is>
          <t>Wallet</t>
        </is>
      </c>
      <c r="G223" t="inlineStr">
        <is>
          <t>N</t>
        </is>
      </c>
    </row>
    <row r="224">
      <c r="A224" t="inlineStr">
        <is>
          <t>2026-04-18</t>
        </is>
      </c>
      <c r="B224" t="inlineStr">
        <is>
          <t>OZ-100004967</t>
        </is>
      </c>
      <c r="C224" t="inlineStr">
        <is>
          <t>ABC-LDR-027</t>
        </is>
      </c>
      <c r="D224" t="n">
        <v>255</v>
      </c>
      <c r="E224" t="n">
        <v>261</v>
      </c>
      <c r="F224" t="inlineStr">
        <is>
          <t>Карта</t>
        </is>
      </c>
      <c r="G224" t="inlineStr">
        <is>
          <t>N</t>
        </is>
      </c>
    </row>
    <row r="225">
      <c r="A225" t="inlineStr">
        <is>
          <t>2026-04-18</t>
        </is>
      </c>
      <c r="B225" t="inlineStr">
        <is>
          <t>OZ-100005003</t>
        </is>
      </c>
      <c r="C225" t="inlineStr">
        <is>
          <t>ABC-LDR-027</t>
        </is>
      </c>
      <c r="D225" t="n">
        <v>64</v>
      </c>
      <c r="E225" t="n">
        <v>261</v>
      </c>
      <c r="F225" t="inlineStr">
        <is>
          <t>Ozon Pay</t>
        </is>
      </c>
      <c r="G225" t="inlineStr">
        <is>
          <t>N</t>
        </is>
      </c>
    </row>
    <row r="226">
      <c r="A226" t="inlineStr">
        <is>
          <t>2026-04-18</t>
        </is>
      </c>
      <c r="B226" t="inlineStr">
        <is>
          <t>OZ-100006929</t>
        </is>
      </c>
      <c r="C226" t="inlineStr">
        <is>
          <t>ABC-DSH-018</t>
        </is>
      </c>
      <c r="D226" t="n">
        <v>455</v>
      </c>
      <c r="E226" t="n">
        <v>240</v>
      </c>
      <c r="F226" t="inlineStr">
        <is>
          <t>Ozon Pay</t>
        </is>
      </c>
      <c r="G226" t="inlineStr">
        <is>
          <t>N</t>
        </is>
      </c>
    </row>
    <row r="227">
      <c r="A227" t="inlineStr">
        <is>
          <t>2026-04-18</t>
        </is>
      </c>
      <c r="B227" t="inlineStr">
        <is>
          <t>OZ-100008822</t>
        </is>
      </c>
      <c r="C227" t="inlineStr">
        <is>
          <t>ABC-KIT-051</t>
        </is>
      </c>
      <c r="D227" t="n">
        <v>212</v>
      </c>
      <c r="E227" t="n">
        <v>350</v>
      </c>
      <c r="F227" t="inlineStr">
        <is>
          <t>Wallet</t>
        </is>
      </c>
      <c r="G227" t="inlineStr">
        <is>
          <t>N</t>
        </is>
      </c>
    </row>
    <row r="228">
      <c r="A228" t="inlineStr">
        <is>
          <t>2026-04-18</t>
        </is>
      </c>
      <c r="B228" t="inlineStr">
        <is>
          <t>OZ-100010988</t>
        </is>
      </c>
      <c r="C228" t="inlineStr">
        <is>
          <t>ABC-WND-009</t>
        </is>
      </c>
      <c r="D228" t="n">
        <v>231</v>
      </c>
      <c r="E228" t="n">
        <v>220</v>
      </c>
      <c r="F228" t="inlineStr">
        <is>
          <t>Карта</t>
        </is>
      </c>
      <c r="G228" t="inlineStr">
        <is>
          <t>N</t>
        </is>
      </c>
    </row>
    <row r="229">
      <c r="A229" t="inlineStr">
        <is>
          <t>2026-04-18</t>
        </is>
      </c>
      <c r="B229" t="inlineStr">
        <is>
          <t>OZ-100011014</t>
        </is>
      </c>
      <c r="C229" t="inlineStr">
        <is>
          <t>ABC-WND-009</t>
        </is>
      </c>
      <c r="D229" t="n">
        <v>58</v>
      </c>
      <c r="E229" t="n">
        <v>220</v>
      </c>
      <c r="F229" t="inlineStr">
        <is>
          <t>Ozon Pay</t>
        </is>
      </c>
      <c r="G229" t="inlineStr">
        <is>
          <t>N</t>
        </is>
      </c>
    </row>
    <row r="230">
      <c r="A230" t="inlineStr">
        <is>
          <t>2026-04-19</t>
        </is>
      </c>
      <c r="B230" t="inlineStr">
        <is>
          <t>OZ-100000985</t>
        </is>
      </c>
      <c r="C230" t="inlineStr">
        <is>
          <t>ABC-CLN-042</t>
        </is>
      </c>
      <c r="D230" t="n">
        <v>546</v>
      </c>
      <c r="E230" t="n">
        <v>380</v>
      </c>
      <c r="F230" t="inlineStr">
        <is>
          <t>Ozon Pay</t>
        </is>
      </c>
      <c r="G230" t="inlineStr">
        <is>
          <t>N</t>
        </is>
      </c>
    </row>
    <row r="231">
      <c r="A231" t="inlineStr">
        <is>
          <t>2026-04-19</t>
        </is>
      </c>
      <c r="B231" t="inlineStr">
        <is>
          <t>OZ-100002928</t>
        </is>
      </c>
      <c r="C231" t="inlineStr">
        <is>
          <t>ABC-LDR-034</t>
        </is>
      </c>
      <c r="D231" t="n">
        <v>139</v>
      </c>
      <c r="E231" t="n">
        <v>720</v>
      </c>
      <c r="F231" t="inlineStr">
        <is>
          <t>Карта</t>
        </is>
      </c>
      <c r="G231" t="inlineStr">
        <is>
          <t>N</t>
        </is>
      </c>
    </row>
    <row r="232">
      <c r="A232" t="inlineStr">
        <is>
          <t>2026-04-19</t>
        </is>
      </c>
      <c r="B232" t="inlineStr">
        <is>
          <t>OZ-100002963</t>
        </is>
      </c>
      <c r="C232" t="inlineStr">
        <is>
          <t>ABC-LDR-034</t>
        </is>
      </c>
      <c r="D232" t="n">
        <v>58</v>
      </c>
      <c r="E232" t="n">
        <v>720</v>
      </c>
      <c r="F232" t="inlineStr">
        <is>
          <t>Wallet</t>
        </is>
      </c>
      <c r="G232" t="inlineStr">
        <is>
          <t>N</t>
        </is>
      </c>
    </row>
    <row r="233">
      <c r="A233" t="inlineStr">
        <is>
          <t>2026-04-19</t>
        </is>
      </c>
      <c r="B233" t="inlineStr">
        <is>
          <t>OZ-100005020</t>
        </is>
      </c>
      <c r="C233" t="inlineStr">
        <is>
          <t>ABC-LDR-027</t>
        </is>
      </c>
      <c r="D233" t="n">
        <v>159</v>
      </c>
      <c r="E233" t="n">
        <v>290</v>
      </c>
      <c r="F233" t="inlineStr">
        <is>
          <t>Карта</t>
        </is>
      </c>
      <c r="G233" t="inlineStr">
        <is>
          <t>N</t>
        </is>
      </c>
    </row>
    <row r="234">
      <c r="A234" t="inlineStr">
        <is>
          <t>2026-04-19</t>
        </is>
      </c>
      <c r="B234" t="inlineStr">
        <is>
          <t>OZ-100005035</t>
        </is>
      </c>
      <c r="C234" t="inlineStr">
        <is>
          <t>ABC-LDR-027</t>
        </is>
      </c>
      <c r="D234" t="n">
        <v>66</v>
      </c>
      <c r="E234" t="n">
        <v>290</v>
      </c>
      <c r="F234" t="inlineStr">
        <is>
          <t>Wallet</t>
        </is>
      </c>
      <c r="G234" t="inlineStr">
        <is>
          <t>N</t>
        </is>
      </c>
    </row>
    <row r="235">
      <c r="A235" t="inlineStr">
        <is>
          <t>2026-04-19</t>
        </is>
      </c>
      <c r="B235" t="inlineStr">
        <is>
          <t>OZ-100005053</t>
        </is>
      </c>
      <c r="C235" t="inlineStr">
        <is>
          <t>ABC-LDR-027</t>
        </is>
      </c>
      <c r="D235" t="n">
        <v>40</v>
      </c>
      <c r="E235" t="n">
        <v>290</v>
      </c>
      <c r="F235" t="inlineStr">
        <is>
          <t>Ozon Pay</t>
        </is>
      </c>
      <c r="G235" t="inlineStr">
        <is>
          <t>N</t>
        </is>
      </c>
    </row>
    <row r="236">
      <c r="A236" t="inlineStr">
        <is>
          <t>2026-04-19</t>
        </is>
      </c>
      <c r="B236" t="inlineStr">
        <is>
          <t>OZ-100006956</t>
        </is>
      </c>
      <c r="C236" t="inlineStr">
        <is>
          <t>ABC-DSH-018</t>
        </is>
      </c>
      <c r="D236" t="n">
        <v>273</v>
      </c>
      <c r="E236" t="n">
        <v>240</v>
      </c>
      <c r="F236" t="inlineStr">
        <is>
          <t>Карта</t>
        </is>
      </c>
      <c r="G236" t="inlineStr">
        <is>
          <t>N</t>
        </is>
      </c>
    </row>
    <row r="237">
      <c r="A237" t="inlineStr">
        <is>
          <t>2026-04-19</t>
        </is>
      </c>
      <c r="B237" t="inlineStr">
        <is>
          <t>OZ-100006978</t>
        </is>
      </c>
      <c r="C237" t="inlineStr">
        <is>
          <t>ABC-DSH-018</t>
        </is>
      </c>
      <c r="D237" t="n">
        <v>114</v>
      </c>
      <c r="E237" t="n">
        <v>240</v>
      </c>
      <c r="F237" t="inlineStr">
        <is>
          <t>Wallet</t>
        </is>
      </c>
      <c r="G237" t="inlineStr">
        <is>
          <t>N</t>
        </is>
      </c>
    </row>
    <row r="238">
      <c r="A238" t="inlineStr">
        <is>
          <t>2026-04-19</t>
        </is>
      </c>
      <c r="B238" t="inlineStr">
        <is>
          <t>OZ-100007000</t>
        </is>
      </c>
      <c r="C238" t="inlineStr">
        <is>
          <t>ABC-DSH-018</t>
        </is>
      </c>
      <c r="D238" t="n">
        <v>68</v>
      </c>
      <c r="E238" t="n">
        <v>240</v>
      </c>
      <c r="F238" t="inlineStr">
        <is>
          <t>Ozon Pay</t>
        </is>
      </c>
      <c r="G238" t="inlineStr">
        <is>
          <t>N</t>
        </is>
      </c>
    </row>
    <row r="239">
      <c r="A239" t="inlineStr">
        <is>
          <t>2026-04-19</t>
        </is>
      </c>
      <c r="B239" t="inlineStr">
        <is>
          <t>OZ-100008864</t>
        </is>
      </c>
      <c r="C239" t="inlineStr">
        <is>
          <t>ABC-KIT-051</t>
        </is>
      </c>
      <c r="D239" t="n">
        <v>32</v>
      </c>
      <c r="E239" t="n">
        <v>350</v>
      </c>
      <c r="F239" t="inlineStr">
        <is>
          <t>Ozon Pay</t>
        </is>
      </c>
      <c r="G239" t="inlineStr">
        <is>
          <t>N</t>
        </is>
      </c>
    </row>
    <row r="240">
      <c r="A240" t="inlineStr">
        <is>
          <t>2026-04-19</t>
        </is>
      </c>
      <c r="B240" t="inlineStr">
        <is>
          <t>OZ-100008897</t>
        </is>
      </c>
      <c r="C240" t="inlineStr">
        <is>
          <t>ABC-KIT-051</t>
        </is>
      </c>
      <c r="D240" t="n">
        <v>127</v>
      </c>
      <c r="E240" t="n">
        <v>350</v>
      </c>
      <c r="F240" t="inlineStr">
        <is>
          <t>Карта</t>
        </is>
      </c>
      <c r="G240" t="inlineStr">
        <is>
          <t>N</t>
        </is>
      </c>
    </row>
    <row r="241">
      <c r="A241" t="inlineStr">
        <is>
          <t>2026-04-19</t>
        </is>
      </c>
      <c r="B241" t="inlineStr">
        <is>
          <t>OZ-100008920</t>
        </is>
      </c>
      <c r="C241" t="inlineStr">
        <is>
          <t>ABC-KIT-051</t>
        </is>
      </c>
      <c r="D241" t="n">
        <v>53</v>
      </c>
      <c r="E241" t="n">
        <v>350</v>
      </c>
      <c r="F241" t="inlineStr">
        <is>
          <t>Wallet</t>
        </is>
      </c>
      <c r="G241" t="inlineStr">
        <is>
          <t>N</t>
        </is>
      </c>
    </row>
    <row r="242">
      <c r="A242" t="inlineStr">
        <is>
          <t>2026-04-19</t>
        </is>
      </c>
      <c r="B242" t="inlineStr">
        <is>
          <t>OZ-100011046</t>
        </is>
      </c>
      <c r="C242" t="inlineStr">
        <is>
          <t>ABC-WND-009</t>
        </is>
      </c>
      <c r="D242" t="n">
        <v>58</v>
      </c>
      <c r="E242" t="n">
        <v>220</v>
      </c>
      <c r="F242" t="inlineStr">
        <is>
          <t>Ozon Pay</t>
        </is>
      </c>
      <c r="G242" t="inlineStr">
        <is>
          <t>N</t>
        </is>
      </c>
    </row>
    <row r="243">
      <c r="A243" t="inlineStr">
        <is>
          <t>2026-04-19</t>
        </is>
      </c>
      <c r="B243" t="inlineStr">
        <is>
          <t>OZ-100011088</t>
        </is>
      </c>
      <c r="C243" t="inlineStr">
        <is>
          <t>ABC-WND-009</t>
        </is>
      </c>
      <c r="D243" t="n">
        <v>231</v>
      </c>
      <c r="E243" t="n">
        <v>220</v>
      </c>
      <c r="F243" t="inlineStr">
        <is>
          <t>Карта</t>
        </is>
      </c>
      <c r="G243" t="inlineStr">
        <is>
          <t>N</t>
        </is>
      </c>
    </row>
    <row r="244">
      <c r="A244" t="inlineStr">
        <is>
          <t>2026-04-20</t>
        </is>
      </c>
      <c r="B244" t="inlineStr">
        <is>
          <t>OZ-100001015</t>
        </is>
      </c>
      <c r="C244" t="inlineStr">
        <is>
          <t>ABC-CLN-042</t>
        </is>
      </c>
      <c r="D244" t="n">
        <v>132</v>
      </c>
      <c r="E244" t="n">
        <v>304</v>
      </c>
      <c r="F244" t="inlineStr">
        <is>
          <t>Ozon Pay</t>
        </is>
      </c>
      <c r="G244" t="inlineStr">
        <is>
          <t>N</t>
        </is>
      </c>
    </row>
    <row r="245">
      <c r="A245" t="inlineStr">
        <is>
          <t>2026-04-20</t>
        </is>
      </c>
      <c r="B245" t="inlineStr">
        <is>
          <t>OZ-100001032</t>
        </is>
      </c>
      <c r="C245" t="inlineStr">
        <is>
          <t>ABC-CLN-042</t>
        </is>
      </c>
      <c r="D245" t="n">
        <v>218</v>
      </c>
      <c r="E245" t="n">
        <v>304</v>
      </c>
      <c r="F245" t="inlineStr">
        <is>
          <t>Wallet</t>
        </is>
      </c>
      <c r="G245" t="inlineStr">
        <is>
          <t>N</t>
        </is>
      </c>
    </row>
    <row r="246">
      <c r="A246" t="inlineStr">
        <is>
          <t>2026-04-20</t>
        </is>
      </c>
      <c r="B246" t="inlineStr">
        <is>
          <t>OZ-100001045</t>
        </is>
      </c>
      <c r="C246" t="inlineStr">
        <is>
          <t>ABC-CLN-042</t>
        </is>
      </c>
      <c r="D246" t="n">
        <v>524</v>
      </c>
      <c r="E246" t="n">
        <v>304</v>
      </c>
      <c r="F246" t="inlineStr">
        <is>
          <t>Карта</t>
        </is>
      </c>
      <c r="G246" t="inlineStr">
        <is>
          <t>N</t>
        </is>
      </c>
    </row>
    <row r="247">
      <c r="A247" t="inlineStr">
        <is>
          <t>2026-04-20</t>
        </is>
      </c>
      <c r="B247" t="inlineStr">
        <is>
          <t>OZ-100002990</t>
        </is>
      </c>
      <c r="C247" t="inlineStr">
        <is>
          <t>ABC-LDR-034</t>
        </is>
      </c>
      <c r="D247" t="n">
        <v>197</v>
      </c>
      <c r="E247" t="n">
        <v>720</v>
      </c>
      <c r="F247" t="inlineStr">
        <is>
          <t>Wallet</t>
        </is>
      </c>
      <c r="G247" t="inlineStr">
        <is>
          <t>N</t>
        </is>
      </c>
    </row>
    <row r="248">
      <c r="A248" t="inlineStr">
        <is>
          <t>2026-04-20</t>
        </is>
      </c>
      <c r="B248" t="inlineStr">
        <is>
          <t>OZ-100003858</t>
        </is>
      </c>
      <c r="C248" t="inlineStr">
        <is>
          <t>ABC-LDR-034</t>
        </is>
      </c>
      <c r="D248" t="n">
        <v>-63</v>
      </c>
      <c r="E248" t="n">
        <v>612</v>
      </c>
      <c r="F248" t="inlineStr">
        <is>
          <t>Wallet</t>
        </is>
      </c>
      <c r="G248" t="inlineStr">
        <is>
          <t>Y</t>
        </is>
      </c>
    </row>
    <row r="249">
      <c r="A249" t="inlineStr">
        <is>
          <t>2026-04-20</t>
        </is>
      </c>
      <c r="B249" t="inlineStr">
        <is>
          <t>OZ-100005097</t>
        </is>
      </c>
      <c r="C249" t="inlineStr">
        <is>
          <t>ABC-LDR-027</t>
        </is>
      </c>
      <c r="D249" t="n">
        <v>66</v>
      </c>
      <c r="E249" t="n">
        <v>290</v>
      </c>
      <c r="F249" t="inlineStr">
        <is>
          <t>Wallet</t>
        </is>
      </c>
      <c r="G249" t="inlineStr">
        <is>
          <t>N</t>
        </is>
      </c>
    </row>
    <row r="250">
      <c r="A250" t="inlineStr">
        <is>
          <t>2026-04-20</t>
        </is>
      </c>
      <c r="B250" t="inlineStr">
        <is>
          <t>OZ-100005132</t>
        </is>
      </c>
      <c r="C250" t="inlineStr">
        <is>
          <t>ABC-LDR-027</t>
        </is>
      </c>
      <c r="D250" t="n">
        <v>159</v>
      </c>
      <c r="E250" t="n">
        <v>290</v>
      </c>
      <c r="F250" t="inlineStr">
        <is>
          <t>Карта</t>
        </is>
      </c>
      <c r="G250" t="inlineStr">
        <is>
          <t>N</t>
        </is>
      </c>
    </row>
    <row r="251">
      <c r="A251" t="inlineStr">
        <is>
          <t>2026-04-20</t>
        </is>
      </c>
      <c r="B251" t="inlineStr">
        <is>
          <t>OZ-100005155</t>
        </is>
      </c>
      <c r="C251" t="inlineStr">
        <is>
          <t>ABC-LDR-027</t>
        </is>
      </c>
      <c r="D251" t="n">
        <v>40</v>
      </c>
      <c r="E251" t="n">
        <v>290</v>
      </c>
      <c r="F251" t="inlineStr">
        <is>
          <t>Ozon Pay</t>
        </is>
      </c>
      <c r="G251" t="inlineStr">
        <is>
          <t>N</t>
        </is>
      </c>
    </row>
    <row r="252">
      <c r="A252" t="inlineStr">
        <is>
          <t>2026-04-20</t>
        </is>
      </c>
      <c r="B252" t="inlineStr">
        <is>
          <t>OZ-100005789</t>
        </is>
      </c>
      <c r="C252" t="inlineStr">
        <is>
          <t>ABC-LDR-027</t>
        </is>
      </c>
      <c r="D252" t="n">
        <v>-53</v>
      </c>
      <c r="E252" t="n">
        <v>290</v>
      </c>
      <c r="F252" t="inlineStr">
        <is>
          <t>Карта</t>
        </is>
      </c>
      <c r="G252" t="inlineStr">
        <is>
          <t>Y</t>
        </is>
      </c>
    </row>
    <row r="253">
      <c r="A253" t="inlineStr">
        <is>
          <t>2026-04-20</t>
        </is>
      </c>
      <c r="B253" t="inlineStr">
        <is>
          <t>OZ-100007017</t>
        </is>
      </c>
      <c r="C253" t="inlineStr">
        <is>
          <t>ABC-DSH-018</t>
        </is>
      </c>
      <c r="D253" t="n">
        <v>171</v>
      </c>
      <c r="E253" t="n">
        <v>240</v>
      </c>
      <c r="F253" t="inlineStr">
        <is>
          <t>Ozon Pay</t>
        </is>
      </c>
      <c r="G253" t="inlineStr">
        <is>
          <t>N</t>
        </is>
      </c>
    </row>
    <row r="254">
      <c r="A254" t="inlineStr">
        <is>
          <t>2026-04-20</t>
        </is>
      </c>
      <c r="B254" t="inlineStr">
        <is>
          <t>OZ-100007040</t>
        </is>
      </c>
      <c r="C254" t="inlineStr">
        <is>
          <t>ABC-DSH-018</t>
        </is>
      </c>
      <c r="D254" t="n">
        <v>284</v>
      </c>
      <c r="E254" t="n">
        <v>240</v>
      </c>
      <c r="F254" t="inlineStr">
        <is>
          <t>Wallet</t>
        </is>
      </c>
      <c r="G254" t="inlineStr">
        <is>
          <t>N</t>
        </is>
      </c>
    </row>
    <row r="255">
      <c r="A255" t="inlineStr">
        <is>
          <t>2026-04-20</t>
        </is>
      </c>
      <c r="B255" t="inlineStr">
        <is>
          <t>OZ-100008946</t>
        </is>
      </c>
      <c r="C255" t="inlineStr">
        <is>
          <t>ABC-KIT-051</t>
        </is>
      </c>
      <c r="D255" t="n">
        <v>127</v>
      </c>
      <c r="E255" t="n">
        <v>350</v>
      </c>
      <c r="F255" t="inlineStr">
        <is>
          <t>Карта</t>
        </is>
      </c>
      <c r="G255" t="inlineStr">
        <is>
          <t>N</t>
        </is>
      </c>
    </row>
    <row r="256">
      <c r="A256" t="inlineStr">
        <is>
          <t>2026-04-20</t>
        </is>
      </c>
      <c r="B256" t="inlineStr">
        <is>
          <t>OZ-100008968</t>
        </is>
      </c>
      <c r="C256" t="inlineStr">
        <is>
          <t>ABC-KIT-051</t>
        </is>
      </c>
      <c r="D256" t="n">
        <v>53</v>
      </c>
      <c r="E256" t="n">
        <v>350</v>
      </c>
      <c r="F256" t="inlineStr">
        <is>
          <t>Wallet</t>
        </is>
      </c>
      <c r="G256" t="inlineStr">
        <is>
          <t>N</t>
        </is>
      </c>
    </row>
    <row r="257">
      <c r="A257" t="inlineStr">
        <is>
          <t>2026-04-20</t>
        </is>
      </c>
      <c r="B257" t="inlineStr">
        <is>
          <t>OZ-100009009</t>
        </is>
      </c>
      <c r="C257" t="inlineStr">
        <is>
          <t>ABC-KIT-051</t>
        </is>
      </c>
      <c r="D257" t="n">
        <v>32</v>
      </c>
      <c r="E257" t="n">
        <v>350</v>
      </c>
      <c r="F257" t="inlineStr">
        <is>
          <t>Ozon Pay</t>
        </is>
      </c>
      <c r="G257" t="inlineStr">
        <is>
          <t>N</t>
        </is>
      </c>
    </row>
    <row r="258">
      <c r="A258" t="inlineStr">
        <is>
          <t>2026-04-20</t>
        </is>
      </c>
      <c r="B258" t="inlineStr">
        <is>
          <t>OZ-100011117</t>
        </is>
      </c>
      <c r="C258" t="inlineStr">
        <is>
          <t>ABC-WND-009</t>
        </is>
      </c>
      <c r="D258" t="n">
        <v>44</v>
      </c>
      <c r="E258" t="n">
        <v>220</v>
      </c>
      <c r="F258" t="inlineStr">
        <is>
          <t>Ozon Pay</t>
        </is>
      </c>
      <c r="G258" t="inlineStr">
        <is>
          <t>N</t>
        </is>
      </c>
    </row>
    <row r="259">
      <c r="A259" t="inlineStr">
        <is>
          <t>2026-04-20</t>
        </is>
      </c>
      <c r="B259" t="inlineStr">
        <is>
          <t>OZ-100011140</t>
        </is>
      </c>
      <c r="C259" t="inlineStr">
        <is>
          <t>ABC-WND-009</t>
        </is>
      </c>
      <c r="D259" t="n">
        <v>173</v>
      </c>
      <c r="E259" t="n">
        <v>220</v>
      </c>
      <c r="F259" t="inlineStr">
        <is>
          <t>Карта</t>
        </is>
      </c>
      <c r="G259" t="inlineStr">
        <is>
          <t>N</t>
        </is>
      </c>
    </row>
    <row r="260">
      <c r="A260" t="inlineStr">
        <is>
          <t>2026-04-20</t>
        </is>
      </c>
      <c r="B260" t="inlineStr">
        <is>
          <t>OZ-100011155</t>
        </is>
      </c>
      <c r="C260" t="inlineStr">
        <is>
          <t>ABC-WND-009</t>
        </is>
      </c>
      <c r="D260" t="n">
        <v>72</v>
      </c>
      <c r="E260" t="n">
        <v>220</v>
      </c>
      <c r="F260" t="inlineStr">
        <is>
          <t>Wallet</t>
        </is>
      </c>
      <c r="G260" t="inlineStr">
        <is>
          <t>N</t>
        </is>
      </c>
    </row>
    <row r="261">
      <c r="A261" t="inlineStr">
        <is>
          <t>2026-04-21</t>
        </is>
      </c>
      <c r="B261" t="inlineStr">
        <is>
          <t>OZ-100001091</t>
        </is>
      </c>
      <c r="C261" t="inlineStr">
        <is>
          <t>ABC-CLN-042</t>
        </is>
      </c>
      <c r="D261" t="n">
        <v>257</v>
      </c>
      <c r="E261" t="n">
        <v>304</v>
      </c>
      <c r="F261" t="inlineStr">
        <is>
          <t>Wallet</t>
        </is>
      </c>
      <c r="G261" t="inlineStr">
        <is>
          <t>N</t>
        </is>
      </c>
    </row>
    <row r="262">
      <c r="A262" t="inlineStr">
        <is>
          <t>2026-04-21</t>
        </is>
      </c>
      <c r="B262" t="inlineStr">
        <is>
          <t>OZ-100001116</t>
        </is>
      </c>
      <c r="C262" t="inlineStr">
        <is>
          <t>ABC-CLN-042</t>
        </is>
      </c>
      <c r="D262" t="n">
        <v>617</v>
      </c>
      <c r="E262" t="n">
        <v>304</v>
      </c>
      <c r="F262" t="inlineStr">
        <is>
          <t>Карта</t>
        </is>
      </c>
      <c r="G262" t="inlineStr">
        <is>
          <t>N</t>
        </is>
      </c>
    </row>
    <row r="263">
      <c r="A263" t="inlineStr">
        <is>
          <t>2026-04-21</t>
        </is>
      </c>
      <c r="B263" t="inlineStr">
        <is>
          <t>OZ-100003005</t>
        </is>
      </c>
      <c r="C263" t="inlineStr">
        <is>
          <t>ABC-LDR-034</t>
        </is>
      </c>
      <c r="D263" t="n">
        <v>123</v>
      </c>
      <c r="E263" t="n">
        <v>720</v>
      </c>
      <c r="F263" t="inlineStr">
        <is>
          <t>Wallet</t>
        </is>
      </c>
      <c r="G263" t="inlineStr">
        <is>
          <t>N</t>
        </is>
      </c>
    </row>
    <row r="264">
      <c r="A264" t="inlineStr">
        <is>
          <t>2026-04-21</t>
        </is>
      </c>
      <c r="B264" t="inlineStr">
        <is>
          <t>OZ-100003035</t>
        </is>
      </c>
      <c r="C264" t="inlineStr">
        <is>
          <t>ABC-LDR-034</t>
        </is>
      </c>
      <c r="D264" t="n">
        <v>74</v>
      </c>
      <c r="E264" t="n">
        <v>720</v>
      </c>
      <c r="F264" t="inlineStr">
        <is>
          <t>Ozon Pay</t>
        </is>
      </c>
      <c r="G264" t="inlineStr">
        <is>
          <t>N</t>
        </is>
      </c>
    </row>
    <row r="265">
      <c r="A265" t="inlineStr">
        <is>
          <t>2026-04-21</t>
        </is>
      </c>
      <c r="B265" t="inlineStr">
        <is>
          <t>OZ-100003682</t>
        </is>
      </c>
      <c r="C265" t="inlineStr">
        <is>
          <t>ABC-LDR-034</t>
        </is>
      </c>
      <c r="D265" t="n">
        <v>-56</v>
      </c>
      <c r="E265" t="n">
        <v>720</v>
      </c>
      <c r="F265" t="inlineStr">
        <is>
          <t>Карта</t>
        </is>
      </c>
      <c r="G265" t="inlineStr">
        <is>
          <t>Y</t>
        </is>
      </c>
    </row>
    <row r="266">
      <c r="A266" t="inlineStr">
        <is>
          <t>2026-04-21</t>
        </is>
      </c>
      <c r="B266" t="inlineStr">
        <is>
          <t>OZ-100005184</t>
        </is>
      </c>
      <c r="C266" t="inlineStr">
        <is>
          <t>ABC-LDR-027</t>
        </is>
      </c>
      <c r="D266" t="n">
        <v>265</v>
      </c>
      <c r="E266" t="n">
        <v>290</v>
      </c>
      <c r="F266" t="inlineStr">
        <is>
          <t>Карта</t>
        </is>
      </c>
      <c r="G266" t="inlineStr">
        <is>
          <t>N</t>
        </is>
      </c>
    </row>
    <row r="267">
      <c r="A267" t="inlineStr">
        <is>
          <t>2026-04-21</t>
        </is>
      </c>
      <c r="B267" t="inlineStr">
        <is>
          <t>OZ-100007069</t>
        </is>
      </c>
      <c r="C267" t="inlineStr">
        <is>
          <t>ABC-DSH-018</t>
        </is>
      </c>
      <c r="D267" t="n">
        <v>455</v>
      </c>
      <c r="E267" t="n">
        <v>240</v>
      </c>
      <c r="F267" t="inlineStr">
        <is>
          <t>Ozon Pay</t>
        </is>
      </c>
      <c r="G267" t="inlineStr">
        <is>
          <t>N</t>
        </is>
      </c>
    </row>
    <row r="268">
      <c r="A268" t="inlineStr">
        <is>
          <t>2026-04-21</t>
        </is>
      </c>
      <c r="B268" t="inlineStr">
        <is>
          <t>OZ-100009038</t>
        </is>
      </c>
      <c r="C268" t="inlineStr">
        <is>
          <t>ABC-KIT-051</t>
        </is>
      </c>
      <c r="D268" t="n">
        <v>150</v>
      </c>
      <c r="E268" t="n">
        <v>350</v>
      </c>
      <c r="F268" t="inlineStr">
        <is>
          <t>Карта</t>
        </is>
      </c>
      <c r="G268" t="inlineStr">
        <is>
          <t>N</t>
        </is>
      </c>
    </row>
    <row r="269">
      <c r="A269" t="inlineStr">
        <is>
          <t>2026-04-21</t>
        </is>
      </c>
      <c r="B269" t="inlineStr">
        <is>
          <t>OZ-100009061</t>
        </is>
      </c>
      <c r="C269" t="inlineStr">
        <is>
          <t>ABC-KIT-051</t>
        </is>
      </c>
      <c r="D269" t="n">
        <v>62</v>
      </c>
      <c r="E269" t="n">
        <v>350</v>
      </c>
      <c r="F269" t="inlineStr">
        <is>
          <t>Wallet</t>
        </is>
      </c>
      <c r="G269" t="inlineStr">
        <is>
          <t>N</t>
        </is>
      </c>
    </row>
    <row r="270">
      <c r="A270" t="inlineStr">
        <is>
          <t>2026-04-21</t>
        </is>
      </c>
      <c r="B270" t="inlineStr">
        <is>
          <t>OZ-100009713</t>
        </is>
      </c>
      <c r="C270" t="inlineStr">
        <is>
          <t>ABC-KIT-051</t>
        </is>
      </c>
      <c r="D270" t="n">
        <v>-98</v>
      </c>
      <c r="E270" t="n">
        <v>350</v>
      </c>
      <c r="F270" t="inlineStr">
        <is>
          <t>Wallet</t>
        </is>
      </c>
      <c r="G270" t="inlineStr">
        <is>
          <t>Y</t>
        </is>
      </c>
    </row>
    <row r="271">
      <c r="A271" t="inlineStr">
        <is>
          <t>2026-04-21</t>
        </is>
      </c>
      <c r="B271" t="inlineStr">
        <is>
          <t>OZ-100011171</t>
        </is>
      </c>
      <c r="C271" t="inlineStr">
        <is>
          <t>ABC-WND-009</t>
        </is>
      </c>
      <c r="D271" t="n">
        <v>204</v>
      </c>
      <c r="E271" t="n">
        <v>220</v>
      </c>
      <c r="F271" t="inlineStr">
        <is>
          <t>Карта</t>
        </is>
      </c>
      <c r="G271" t="inlineStr">
        <is>
          <t>N</t>
        </is>
      </c>
    </row>
    <row r="272">
      <c r="A272" t="inlineStr">
        <is>
          <t>2026-04-21</t>
        </is>
      </c>
      <c r="B272" t="inlineStr">
        <is>
          <t>OZ-100011216</t>
        </is>
      </c>
      <c r="C272" t="inlineStr">
        <is>
          <t>ABC-WND-009</t>
        </is>
      </c>
      <c r="D272" t="n">
        <v>85</v>
      </c>
      <c r="E272" t="n">
        <v>220</v>
      </c>
      <c r="F272" t="inlineStr">
        <is>
          <t>Wallet</t>
        </is>
      </c>
      <c r="G272" t="inlineStr">
        <is>
          <t>N</t>
        </is>
      </c>
    </row>
    <row r="273">
      <c r="A273" t="inlineStr">
        <is>
          <t>2026-04-22</t>
        </is>
      </c>
      <c r="B273" t="inlineStr">
        <is>
          <t>OZ-100001159</t>
        </is>
      </c>
      <c r="C273" t="inlineStr">
        <is>
          <t>ABC-CLN-042</t>
        </is>
      </c>
      <c r="D273" t="n">
        <v>874</v>
      </c>
      <c r="E273" t="n">
        <v>304</v>
      </c>
      <c r="F273" t="inlineStr">
        <is>
          <t>Wallet</t>
        </is>
      </c>
      <c r="G273" t="inlineStr">
        <is>
          <t>N</t>
        </is>
      </c>
    </row>
    <row r="274">
      <c r="A274" t="inlineStr">
        <is>
          <t>2026-04-22</t>
        </is>
      </c>
      <c r="B274" t="inlineStr">
        <is>
          <t>OZ-100003048</t>
        </is>
      </c>
      <c r="C274" t="inlineStr">
        <is>
          <t>ABC-LDR-034</t>
        </is>
      </c>
      <c r="D274" t="n">
        <v>30</v>
      </c>
      <c r="E274" t="n">
        <v>720</v>
      </c>
      <c r="F274" t="inlineStr">
        <is>
          <t>Ozon Pay</t>
        </is>
      </c>
      <c r="G274" t="inlineStr">
        <is>
          <t>N</t>
        </is>
      </c>
    </row>
    <row r="275">
      <c r="A275" t="inlineStr">
        <is>
          <t>2026-04-22</t>
        </is>
      </c>
      <c r="B275" t="inlineStr">
        <is>
          <t>OZ-100003075</t>
        </is>
      </c>
      <c r="C275" t="inlineStr">
        <is>
          <t>ABC-LDR-034</t>
        </is>
      </c>
      <c r="D275" t="n">
        <v>49</v>
      </c>
      <c r="E275" t="n">
        <v>720</v>
      </c>
      <c r="F275" t="inlineStr">
        <is>
          <t>Wallet</t>
        </is>
      </c>
      <c r="G275" t="inlineStr">
        <is>
          <t>N</t>
        </is>
      </c>
    </row>
    <row r="276">
      <c r="A276" t="inlineStr">
        <is>
          <t>2026-04-22</t>
        </is>
      </c>
      <c r="B276" t="inlineStr">
        <is>
          <t>OZ-100003122</t>
        </is>
      </c>
      <c r="C276" t="inlineStr">
        <is>
          <t>ABC-LDR-034</t>
        </is>
      </c>
      <c r="D276" t="n">
        <v>118</v>
      </c>
      <c r="E276" t="n">
        <v>720</v>
      </c>
      <c r="F276" t="inlineStr">
        <is>
          <t>Карта</t>
        </is>
      </c>
      <c r="G276" t="inlineStr">
        <is>
          <t>N</t>
        </is>
      </c>
    </row>
    <row r="277">
      <c r="A277" t="inlineStr">
        <is>
          <t>2026-04-22</t>
        </is>
      </c>
      <c r="B277" t="inlineStr">
        <is>
          <t>OZ-100005199</t>
        </is>
      </c>
      <c r="C277" t="inlineStr">
        <is>
          <t>ABC-LDR-027</t>
        </is>
      </c>
      <c r="D277" t="n">
        <v>99</v>
      </c>
      <c r="E277" t="n">
        <v>290</v>
      </c>
      <c r="F277" t="inlineStr">
        <is>
          <t>Ozon Pay</t>
        </is>
      </c>
      <c r="G277" t="inlineStr">
        <is>
          <t>N</t>
        </is>
      </c>
    </row>
    <row r="278">
      <c r="A278" t="inlineStr">
        <is>
          <t>2026-04-22</t>
        </is>
      </c>
      <c r="B278" t="inlineStr">
        <is>
          <t>OZ-100005228</t>
        </is>
      </c>
      <c r="C278" t="inlineStr">
        <is>
          <t>ABC-LDR-027</t>
        </is>
      </c>
      <c r="D278" t="n">
        <v>166</v>
      </c>
      <c r="E278" t="n">
        <v>290</v>
      </c>
      <c r="F278" t="inlineStr">
        <is>
          <t>Wallet</t>
        </is>
      </c>
      <c r="G278" t="inlineStr">
        <is>
          <t>N</t>
        </is>
      </c>
    </row>
    <row r="279">
      <c r="A279" t="inlineStr">
        <is>
          <t>2026-04-22</t>
        </is>
      </c>
      <c r="B279" t="inlineStr">
        <is>
          <t>OZ-100007096</t>
        </is>
      </c>
      <c r="C279" t="inlineStr">
        <is>
          <t>ABC-DSH-018</t>
        </is>
      </c>
      <c r="D279" t="n">
        <v>91</v>
      </c>
      <c r="E279" t="n">
        <v>240</v>
      </c>
      <c r="F279" t="inlineStr">
        <is>
          <t>Ozon Pay</t>
        </is>
      </c>
      <c r="G279" t="inlineStr">
        <is>
          <t>N</t>
        </is>
      </c>
    </row>
    <row r="280">
      <c r="A280" t="inlineStr">
        <is>
          <t>2026-04-22</t>
        </is>
      </c>
      <c r="B280" t="inlineStr">
        <is>
          <t>OZ-100007117</t>
        </is>
      </c>
      <c r="C280" t="inlineStr">
        <is>
          <t>ABC-DSH-018</t>
        </is>
      </c>
      <c r="D280" t="n">
        <v>364</v>
      </c>
      <c r="E280" t="n">
        <v>240</v>
      </c>
      <c r="F280" t="inlineStr">
        <is>
          <t>Карта</t>
        </is>
      </c>
      <c r="G280" t="inlineStr">
        <is>
          <t>N</t>
        </is>
      </c>
    </row>
    <row r="281">
      <c r="A281" t="inlineStr">
        <is>
          <t>2026-04-22</t>
        </is>
      </c>
      <c r="B281" t="inlineStr">
        <is>
          <t>OZ-100009079</t>
        </is>
      </c>
      <c r="C281" t="inlineStr">
        <is>
          <t>ABC-KIT-051</t>
        </is>
      </c>
      <c r="D281" t="n">
        <v>62</v>
      </c>
      <c r="E281" t="n">
        <v>350</v>
      </c>
      <c r="F281" t="inlineStr">
        <is>
          <t>Wallet</t>
        </is>
      </c>
      <c r="G281" t="inlineStr">
        <is>
          <t>N</t>
        </is>
      </c>
    </row>
    <row r="282">
      <c r="A282" t="inlineStr">
        <is>
          <t>2026-04-22</t>
        </is>
      </c>
      <c r="B282" t="inlineStr">
        <is>
          <t>OZ-100009121</t>
        </is>
      </c>
      <c r="C282" t="inlineStr">
        <is>
          <t>ABC-KIT-051</t>
        </is>
      </c>
      <c r="D282" t="n">
        <v>150</v>
      </c>
      <c r="E282" t="n">
        <v>350</v>
      </c>
      <c r="F282" t="inlineStr">
        <is>
          <t>Карта</t>
        </is>
      </c>
      <c r="G282" t="inlineStr">
        <is>
          <t>N</t>
        </is>
      </c>
    </row>
    <row r="283">
      <c r="A283" t="inlineStr">
        <is>
          <t>2026-04-22</t>
        </is>
      </c>
      <c r="B283" t="inlineStr">
        <is>
          <t>OZ-100011240</t>
        </is>
      </c>
      <c r="C283" t="inlineStr">
        <is>
          <t>ABC-WND-009</t>
        </is>
      </c>
      <c r="D283" t="n">
        <v>181</v>
      </c>
      <c r="E283" t="n">
        <v>220</v>
      </c>
      <c r="F283" t="inlineStr">
        <is>
          <t>Wallet</t>
        </is>
      </c>
      <c r="G283" t="inlineStr">
        <is>
          <t>N</t>
        </is>
      </c>
    </row>
    <row r="284">
      <c r="A284" t="inlineStr">
        <is>
          <t>2026-04-22</t>
        </is>
      </c>
      <c r="B284" t="inlineStr">
        <is>
          <t>OZ-100011280</t>
        </is>
      </c>
      <c r="C284" t="inlineStr">
        <is>
          <t>ABC-WND-009</t>
        </is>
      </c>
      <c r="D284" t="n">
        <v>108</v>
      </c>
      <c r="E284" t="n">
        <v>220</v>
      </c>
      <c r="F284" t="inlineStr">
        <is>
          <t>Ozon Pay</t>
        </is>
      </c>
      <c r="G284" t="inlineStr">
        <is>
          <t>N</t>
        </is>
      </c>
    </row>
    <row r="285">
      <c r="A285" t="inlineStr">
        <is>
          <t>2026-04-22</t>
        </is>
      </c>
      <c r="B285" t="inlineStr">
        <is>
          <t>OZ-100011800</t>
        </is>
      </c>
      <c r="C285" t="inlineStr">
        <is>
          <t>ABC-WND-009</t>
        </is>
      </c>
      <c r="D285" t="n">
        <v>-97</v>
      </c>
      <c r="E285" t="n">
        <v>220</v>
      </c>
      <c r="F285" t="inlineStr">
        <is>
          <t>Ozon Pay</t>
        </is>
      </c>
      <c r="G285" t="inlineStr">
        <is>
          <t>Y</t>
        </is>
      </c>
    </row>
    <row r="286">
      <c r="A286" t="inlineStr">
        <is>
          <t>2026-04-23</t>
        </is>
      </c>
      <c r="B286" t="inlineStr">
        <is>
          <t>OZ-100001206</t>
        </is>
      </c>
      <c r="C286" t="inlineStr">
        <is>
          <t>ABC-CLN-042</t>
        </is>
      </c>
      <c r="D286" t="n">
        <v>385</v>
      </c>
      <c r="E286" t="n">
        <v>380</v>
      </c>
      <c r="F286" t="inlineStr">
        <is>
          <t>Карта</t>
        </is>
      </c>
      <c r="G286" t="inlineStr">
        <is>
          <t>N</t>
        </is>
      </c>
    </row>
    <row r="287">
      <c r="A287" t="inlineStr">
        <is>
          <t>2026-04-23</t>
        </is>
      </c>
      <c r="B287" t="inlineStr">
        <is>
          <t>OZ-100001250</t>
        </is>
      </c>
      <c r="C287" t="inlineStr">
        <is>
          <t>ABC-CLN-042</t>
        </is>
      </c>
      <c r="D287" t="n">
        <v>161</v>
      </c>
      <c r="E287" t="n">
        <v>380</v>
      </c>
      <c r="F287" t="inlineStr">
        <is>
          <t>Wallet</t>
        </is>
      </c>
      <c r="G287" t="inlineStr">
        <is>
          <t>N</t>
        </is>
      </c>
    </row>
    <row r="288">
      <c r="A288" t="inlineStr">
        <is>
          <t>2026-04-23</t>
        </is>
      </c>
      <c r="B288" t="inlineStr">
        <is>
          <t>OZ-100001661</t>
        </is>
      </c>
      <c r="C288" t="inlineStr">
        <is>
          <t>ABC-CLN-042</t>
        </is>
      </c>
      <c r="D288" t="n">
        <v>-228</v>
      </c>
      <c r="E288" t="n">
        <v>380</v>
      </c>
      <c r="F288" t="inlineStr">
        <is>
          <t>Карта</t>
        </is>
      </c>
      <c r="G288" t="inlineStr">
        <is>
          <t>Y</t>
        </is>
      </c>
    </row>
    <row r="289">
      <c r="A289" t="inlineStr">
        <is>
          <t>2026-04-23</t>
        </is>
      </c>
      <c r="B289" t="inlineStr">
        <is>
          <t>OZ-100003148</t>
        </is>
      </c>
      <c r="C289" t="inlineStr">
        <is>
          <t>ABC-LDR-034</t>
        </is>
      </c>
      <c r="D289" t="n">
        <v>158</v>
      </c>
      <c r="E289" t="n">
        <v>720</v>
      </c>
      <c r="F289" t="inlineStr">
        <is>
          <t>Карта</t>
        </is>
      </c>
      <c r="G289" t="inlineStr">
        <is>
          <t>N</t>
        </is>
      </c>
    </row>
    <row r="290">
      <c r="A290" t="inlineStr">
        <is>
          <t>2026-04-23</t>
        </is>
      </c>
      <c r="B290" t="inlineStr">
        <is>
          <t>OZ-100003181</t>
        </is>
      </c>
      <c r="C290" t="inlineStr">
        <is>
          <t>ABC-LDR-034</t>
        </is>
      </c>
      <c r="D290" t="n">
        <v>39</v>
      </c>
      <c r="E290" t="n">
        <v>720</v>
      </c>
      <c r="F290" t="inlineStr">
        <is>
          <t>Ozon Pay</t>
        </is>
      </c>
      <c r="G290" t="inlineStr">
        <is>
          <t>N</t>
        </is>
      </c>
    </row>
    <row r="291">
      <c r="A291" t="inlineStr">
        <is>
          <t>2026-04-23</t>
        </is>
      </c>
      <c r="B291" t="inlineStr">
        <is>
          <t>OZ-100005265</t>
        </is>
      </c>
      <c r="C291" t="inlineStr">
        <is>
          <t>ABC-LDR-027</t>
        </is>
      </c>
      <c r="D291" t="n">
        <v>159</v>
      </c>
      <c r="E291" t="n">
        <v>290</v>
      </c>
      <c r="F291" t="inlineStr">
        <is>
          <t>Карта</t>
        </is>
      </c>
      <c r="G291" t="inlineStr">
        <is>
          <t>N</t>
        </is>
      </c>
    </row>
    <row r="292">
      <c r="A292" t="inlineStr">
        <is>
          <t>2026-04-23</t>
        </is>
      </c>
      <c r="B292" t="inlineStr">
        <is>
          <t>OZ-100005294</t>
        </is>
      </c>
      <c r="C292" t="inlineStr">
        <is>
          <t>ABC-LDR-027</t>
        </is>
      </c>
      <c r="D292" t="n">
        <v>40</v>
      </c>
      <c r="E292" t="n">
        <v>290</v>
      </c>
      <c r="F292" t="inlineStr">
        <is>
          <t>Ozon Pay</t>
        </is>
      </c>
      <c r="G292" t="inlineStr">
        <is>
          <t>N</t>
        </is>
      </c>
    </row>
    <row r="293">
      <c r="A293" t="inlineStr">
        <is>
          <t>2026-04-23</t>
        </is>
      </c>
      <c r="B293" t="inlineStr">
        <is>
          <t>OZ-100005307</t>
        </is>
      </c>
      <c r="C293" t="inlineStr">
        <is>
          <t>ABC-LDR-027</t>
        </is>
      </c>
      <c r="D293" t="n">
        <v>66</v>
      </c>
      <c r="E293" t="n">
        <v>290</v>
      </c>
      <c r="F293" t="inlineStr">
        <is>
          <t>Wallet</t>
        </is>
      </c>
      <c r="G293" t="inlineStr">
        <is>
          <t>N</t>
        </is>
      </c>
    </row>
    <row r="294">
      <c r="A294" t="inlineStr">
        <is>
          <t>2026-04-23</t>
        </is>
      </c>
      <c r="B294" t="inlineStr">
        <is>
          <t>OZ-100007156</t>
        </is>
      </c>
      <c r="C294" t="inlineStr">
        <is>
          <t>ABC-DSH-018</t>
        </is>
      </c>
      <c r="D294" t="n">
        <v>455</v>
      </c>
      <c r="E294" t="n">
        <v>240</v>
      </c>
      <c r="F294" t="inlineStr">
        <is>
          <t>Ozon Pay</t>
        </is>
      </c>
      <c r="G294" t="inlineStr">
        <is>
          <t>N</t>
        </is>
      </c>
    </row>
    <row r="295">
      <c r="A295" t="inlineStr">
        <is>
          <t>2026-04-23</t>
        </is>
      </c>
      <c r="B295" t="inlineStr">
        <is>
          <t>OZ-100007646</t>
        </is>
      </c>
      <c r="C295" t="inlineStr">
        <is>
          <t>ABC-DSH-018</t>
        </is>
      </c>
      <c r="D295" t="n">
        <v>-150</v>
      </c>
      <c r="E295" t="n">
        <v>240</v>
      </c>
      <c r="F295" t="inlineStr">
        <is>
          <t>Ozon Pay</t>
        </is>
      </c>
      <c r="G295" t="inlineStr">
        <is>
          <t>Y</t>
        </is>
      </c>
    </row>
    <row r="296">
      <c r="A296" t="inlineStr">
        <is>
          <t>2026-04-23</t>
        </is>
      </c>
      <c r="B296" t="inlineStr">
        <is>
          <t>OZ-100007692</t>
        </is>
      </c>
      <c r="C296" t="inlineStr">
        <is>
          <t>ABC-DSH-018</t>
        </is>
      </c>
      <c r="D296" t="n">
        <v>-150</v>
      </c>
      <c r="E296" t="n">
        <v>240</v>
      </c>
      <c r="F296" t="inlineStr">
        <is>
          <t>Ozon Pay</t>
        </is>
      </c>
      <c r="G296" t="inlineStr">
        <is>
          <t>Y</t>
        </is>
      </c>
    </row>
    <row r="297">
      <c r="A297" t="inlineStr">
        <is>
          <t>2026-04-23</t>
        </is>
      </c>
      <c r="B297" t="inlineStr">
        <is>
          <t>OZ-100009167</t>
        </is>
      </c>
      <c r="C297" t="inlineStr">
        <is>
          <t>ABC-KIT-051</t>
        </is>
      </c>
      <c r="D297" t="n">
        <v>127</v>
      </c>
      <c r="E297" t="n">
        <v>350</v>
      </c>
      <c r="F297" t="inlineStr">
        <is>
          <t>Карта</t>
        </is>
      </c>
      <c r="G297" t="inlineStr">
        <is>
          <t>N</t>
        </is>
      </c>
    </row>
    <row r="298">
      <c r="A298" t="inlineStr">
        <is>
          <t>2026-04-23</t>
        </is>
      </c>
      <c r="B298" t="inlineStr">
        <is>
          <t>OZ-100009214</t>
        </is>
      </c>
      <c r="C298" t="inlineStr">
        <is>
          <t>ABC-KIT-051</t>
        </is>
      </c>
      <c r="D298" t="n">
        <v>53</v>
      </c>
      <c r="E298" t="n">
        <v>350</v>
      </c>
      <c r="F298" t="inlineStr">
        <is>
          <t>Wallet</t>
        </is>
      </c>
      <c r="G298" t="inlineStr">
        <is>
          <t>N</t>
        </is>
      </c>
    </row>
    <row r="299">
      <c r="A299" t="inlineStr">
        <is>
          <t>2026-04-23</t>
        </is>
      </c>
      <c r="B299" t="inlineStr">
        <is>
          <t>OZ-100009227</t>
        </is>
      </c>
      <c r="C299" t="inlineStr">
        <is>
          <t>ABC-KIT-051</t>
        </is>
      </c>
      <c r="D299" t="n">
        <v>32</v>
      </c>
      <c r="E299" t="n">
        <v>350</v>
      </c>
      <c r="F299" t="inlineStr">
        <is>
          <t>Ozon Pay</t>
        </is>
      </c>
      <c r="G299" t="inlineStr">
        <is>
          <t>N</t>
        </is>
      </c>
    </row>
    <row r="300">
      <c r="A300" t="inlineStr">
        <is>
          <t>2026-04-23</t>
        </is>
      </c>
      <c r="B300" t="inlineStr">
        <is>
          <t>OZ-100011299</t>
        </is>
      </c>
      <c r="C300" t="inlineStr">
        <is>
          <t>ABC-WND-009</t>
        </is>
      </c>
      <c r="D300" t="n">
        <v>289</v>
      </c>
      <c r="E300" t="n">
        <v>220</v>
      </c>
      <c r="F300" t="inlineStr">
        <is>
          <t>Ozon Pay</t>
        </is>
      </c>
      <c r="G300" t="inlineStr">
        <is>
          <t>N</t>
        </is>
      </c>
    </row>
    <row r="301">
      <c r="A301" t="inlineStr">
        <is>
          <t>2026-04-24</t>
        </is>
      </c>
      <c r="B301" t="inlineStr">
        <is>
          <t>OZ-100001294</t>
        </is>
      </c>
      <c r="C301" t="inlineStr">
        <is>
          <t>ABC-CLN-042</t>
        </is>
      </c>
      <c r="D301" t="n">
        <v>546</v>
      </c>
      <c r="E301" t="n">
        <v>380</v>
      </c>
      <c r="F301" t="inlineStr">
        <is>
          <t>Wallet</t>
        </is>
      </c>
      <c r="G301" t="inlineStr">
        <is>
          <t>N</t>
        </is>
      </c>
    </row>
    <row r="302">
      <c r="A302" t="inlineStr">
        <is>
          <t>2026-04-24</t>
        </is>
      </c>
      <c r="B302" t="inlineStr">
        <is>
          <t>OZ-100003225</t>
        </is>
      </c>
      <c r="C302" t="inlineStr">
        <is>
          <t>ABC-LDR-034</t>
        </is>
      </c>
      <c r="D302" t="n">
        <v>30</v>
      </c>
      <c r="E302" t="n">
        <v>720</v>
      </c>
      <c r="F302" t="inlineStr">
        <is>
          <t>Ozon Pay</t>
        </is>
      </c>
      <c r="G302" t="inlineStr">
        <is>
          <t>N</t>
        </is>
      </c>
    </row>
    <row r="303">
      <c r="A303" t="inlineStr">
        <is>
          <t>2026-04-24</t>
        </is>
      </c>
      <c r="B303" t="inlineStr">
        <is>
          <t>OZ-100003238</t>
        </is>
      </c>
      <c r="C303" t="inlineStr">
        <is>
          <t>ABC-LDR-034</t>
        </is>
      </c>
      <c r="D303" t="n">
        <v>49</v>
      </c>
      <c r="E303" t="n">
        <v>720</v>
      </c>
      <c r="F303" t="inlineStr">
        <is>
          <t>Wallet</t>
        </is>
      </c>
      <c r="G303" t="inlineStr">
        <is>
          <t>N</t>
        </is>
      </c>
    </row>
    <row r="304">
      <c r="A304" t="inlineStr">
        <is>
          <t>2026-04-24</t>
        </is>
      </c>
      <c r="B304" t="inlineStr">
        <is>
          <t>OZ-100003254</t>
        </is>
      </c>
      <c r="C304" t="inlineStr">
        <is>
          <t>ABC-LDR-034</t>
        </is>
      </c>
      <c r="D304" t="n">
        <v>118</v>
      </c>
      <c r="E304" t="n">
        <v>720</v>
      </c>
      <c r="F304" t="inlineStr">
        <is>
          <t>Карта</t>
        </is>
      </c>
      <c r="G304" t="inlineStr">
        <is>
          <t>N</t>
        </is>
      </c>
    </row>
    <row r="305">
      <c r="A305" t="inlineStr">
        <is>
          <t>2026-04-24</t>
        </is>
      </c>
      <c r="B305" t="inlineStr">
        <is>
          <t>OZ-100005349</t>
        </is>
      </c>
      <c r="C305" t="inlineStr">
        <is>
          <t>ABC-LDR-027</t>
        </is>
      </c>
      <c r="D305" t="n">
        <v>265</v>
      </c>
      <c r="E305" t="n">
        <v>290</v>
      </c>
      <c r="F305" t="inlineStr">
        <is>
          <t>Карта</t>
        </is>
      </c>
      <c r="G305" t="inlineStr">
        <is>
          <t>N</t>
        </is>
      </c>
    </row>
    <row r="306">
      <c r="A306" t="inlineStr">
        <is>
          <t>2026-04-24</t>
        </is>
      </c>
      <c r="B306" t="inlineStr">
        <is>
          <t>OZ-100007175</t>
        </is>
      </c>
      <c r="C306" t="inlineStr">
        <is>
          <t>ABC-DSH-018</t>
        </is>
      </c>
      <c r="D306" t="n">
        <v>455</v>
      </c>
      <c r="E306" t="n">
        <v>240</v>
      </c>
      <c r="F306" t="inlineStr">
        <is>
          <t>Wallet</t>
        </is>
      </c>
      <c r="G306" t="inlineStr">
        <is>
          <t>N</t>
        </is>
      </c>
    </row>
    <row r="307">
      <c r="A307" t="inlineStr">
        <is>
          <t>2026-04-24</t>
        </is>
      </c>
      <c r="B307" t="inlineStr">
        <is>
          <t>OZ-100007609</t>
        </is>
      </c>
      <c r="C307" t="inlineStr">
        <is>
          <t>ABC-DSH-018</t>
        </is>
      </c>
      <c r="D307" t="n">
        <v>-150</v>
      </c>
      <c r="E307" t="n">
        <v>240</v>
      </c>
      <c r="F307" t="inlineStr">
        <is>
          <t>Карта</t>
        </is>
      </c>
      <c r="G307" t="inlineStr">
        <is>
          <t>Y</t>
        </is>
      </c>
    </row>
    <row r="308">
      <c r="A308" t="inlineStr">
        <is>
          <t>2026-04-24</t>
        </is>
      </c>
      <c r="B308" t="inlineStr">
        <is>
          <t>OZ-100009257</t>
        </is>
      </c>
      <c r="C308" t="inlineStr">
        <is>
          <t>ABC-KIT-051</t>
        </is>
      </c>
      <c r="D308" t="n">
        <v>212</v>
      </c>
      <c r="E308" t="n">
        <v>350</v>
      </c>
      <c r="F308" t="inlineStr">
        <is>
          <t>Карта</t>
        </is>
      </c>
      <c r="G308" t="inlineStr">
        <is>
          <t>N</t>
        </is>
      </c>
    </row>
    <row r="309">
      <c r="A309" t="inlineStr">
        <is>
          <t>2026-04-24</t>
        </is>
      </c>
      <c r="B309" t="inlineStr">
        <is>
          <t>OZ-100011335</t>
        </is>
      </c>
      <c r="C309" t="inlineStr">
        <is>
          <t>ABC-WND-009</t>
        </is>
      </c>
      <c r="D309" t="n">
        <v>289</v>
      </c>
      <c r="E309" t="n">
        <v>220</v>
      </c>
      <c r="F309" t="inlineStr">
        <is>
          <t>Карта</t>
        </is>
      </c>
      <c r="G309" t="inlineStr">
        <is>
          <t>N</t>
        </is>
      </c>
    </row>
    <row r="310">
      <c r="A310" t="inlineStr">
        <is>
          <t>2026-04-25</t>
        </is>
      </c>
      <c r="B310" t="inlineStr">
        <is>
          <t>OZ-100001326</t>
        </is>
      </c>
      <c r="C310" t="inlineStr">
        <is>
          <t>ABC-CLN-042</t>
        </is>
      </c>
      <c r="D310" t="n">
        <v>341</v>
      </c>
      <c r="E310" t="n">
        <v>380</v>
      </c>
      <c r="F310" t="inlineStr">
        <is>
          <t>Wallet</t>
        </is>
      </c>
      <c r="G310" t="inlineStr">
        <is>
          <t>N</t>
        </is>
      </c>
    </row>
    <row r="311">
      <c r="A311" t="inlineStr">
        <is>
          <t>2026-04-25</t>
        </is>
      </c>
      <c r="B311" t="inlineStr">
        <is>
          <t>OZ-100001367</t>
        </is>
      </c>
      <c r="C311" t="inlineStr">
        <is>
          <t>ABC-CLN-042</t>
        </is>
      </c>
      <c r="D311" t="n">
        <v>205</v>
      </c>
      <c r="E311" t="n">
        <v>380</v>
      </c>
      <c r="F311" t="inlineStr">
        <is>
          <t>Ozon Pay</t>
        </is>
      </c>
      <c r="G311" t="inlineStr">
        <is>
          <t>N</t>
        </is>
      </c>
    </row>
    <row r="312">
      <c r="A312" t="inlineStr">
        <is>
          <t>2026-04-25</t>
        </is>
      </c>
      <c r="B312" t="inlineStr">
        <is>
          <t>OZ-100003288</t>
        </is>
      </c>
      <c r="C312" t="inlineStr">
        <is>
          <t>ABC-LDR-034</t>
        </is>
      </c>
      <c r="D312" t="n">
        <v>158</v>
      </c>
      <c r="E312" t="n">
        <v>720</v>
      </c>
      <c r="F312" t="inlineStr">
        <is>
          <t>Карта</t>
        </is>
      </c>
      <c r="G312" t="inlineStr">
        <is>
          <t>N</t>
        </is>
      </c>
    </row>
    <row r="313">
      <c r="A313" t="inlineStr">
        <is>
          <t>2026-04-25</t>
        </is>
      </c>
      <c r="B313" t="inlineStr">
        <is>
          <t>OZ-100003301</t>
        </is>
      </c>
      <c r="C313" t="inlineStr">
        <is>
          <t>ABC-LDR-034</t>
        </is>
      </c>
      <c r="D313" t="n">
        <v>39</v>
      </c>
      <c r="E313" t="n">
        <v>720</v>
      </c>
      <c r="F313" t="inlineStr">
        <is>
          <t>Ozon Pay</t>
        </is>
      </c>
      <c r="G313" t="inlineStr">
        <is>
          <t>N</t>
        </is>
      </c>
    </row>
    <row r="314">
      <c r="A314" t="inlineStr">
        <is>
          <t>2026-04-25</t>
        </is>
      </c>
      <c r="B314" t="inlineStr">
        <is>
          <t>OZ-100005363</t>
        </is>
      </c>
      <c r="C314" t="inlineStr">
        <is>
          <t>ABC-LDR-027</t>
        </is>
      </c>
      <c r="D314" t="n">
        <v>66</v>
      </c>
      <c r="E314" t="n">
        <v>290</v>
      </c>
      <c r="F314" t="inlineStr">
        <is>
          <t>Wallet</t>
        </is>
      </c>
      <c r="G314" t="inlineStr">
        <is>
          <t>N</t>
        </is>
      </c>
    </row>
    <row r="315">
      <c r="A315" t="inlineStr">
        <is>
          <t>2026-04-25</t>
        </is>
      </c>
      <c r="B315" t="inlineStr">
        <is>
          <t>OZ-100005378</t>
        </is>
      </c>
      <c r="C315" t="inlineStr">
        <is>
          <t>ABC-LDR-027</t>
        </is>
      </c>
      <c r="D315" t="n">
        <v>159</v>
      </c>
      <c r="E315" t="n">
        <v>290</v>
      </c>
      <c r="F315" t="inlineStr">
        <is>
          <t>Карта</t>
        </is>
      </c>
      <c r="G315" t="inlineStr">
        <is>
          <t>N</t>
        </is>
      </c>
    </row>
    <row r="316">
      <c r="A316" t="inlineStr">
        <is>
          <t>2026-04-25</t>
        </is>
      </c>
      <c r="B316" t="inlineStr">
        <is>
          <t>OZ-100005402</t>
        </is>
      </c>
      <c r="C316" t="inlineStr">
        <is>
          <t>ABC-LDR-027</t>
        </is>
      </c>
      <c r="D316" t="n">
        <v>40</v>
      </c>
      <c r="E316" t="n">
        <v>290</v>
      </c>
      <c r="F316" t="inlineStr">
        <is>
          <t>Ozon Pay</t>
        </is>
      </c>
      <c r="G316" t="inlineStr">
        <is>
          <t>N</t>
        </is>
      </c>
    </row>
    <row r="317">
      <c r="A317" t="inlineStr">
        <is>
          <t>2026-04-25</t>
        </is>
      </c>
      <c r="B317" t="inlineStr">
        <is>
          <t>OZ-100007203</t>
        </is>
      </c>
      <c r="C317" t="inlineStr">
        <is>
          <t>ABC-DSH-018</t>
        </is>
      </c>
      <c r="D317" t="n">
        <v>114</v>
      </c>
      <c r="E317" t="n">
        <v>240</v>
      </c>
      <c r="F317" t="inlineStr">
        <is>
          <t>Wallet</t>
        </is>
      </c>
      <c r="G317" t="inlineStr">
        <is>
          <t>N</t>
        </is>
      </c>
    </row>
    <row r="318">
      <c r="A318" t="inlineStr">
        <is>
          <t>2026-04-25</t>
        </is>
      </c>
      <c r="B318" t="inlineStr">
        <is>
          <t>OZ-100007219</t>
        </is>
      </c>
      <c r="C318" t="inlineStr">
        <is>
          <t>ABC-DSH-018</t>
        </is>
      </c>
      <c r="D318" t="n">
        <v>273</v>
      </c>
      <c r="E318" t="n">
        <v>240</v>
      </c>
      <c r="F318" t="inlineStr">
        <is>
          <t>Карта</t>
        </is>
      </c>
      <c r="G318" t="inlineStr">
        <is>
          <t>N</t>
        </is>
      </c>
    </row>
    <row r="319">
      <c r="A319" t="inlineStr">
        <is>
          <t>2026-04-25</t>
        </is>
      </c>
      <c r="B319" t="inlineStr">
        <is>
          <t>OZ-100007250</t>
        </is>
      </c>
      <c r="C319" t="inlineStr">
        <is>
          <t>ABC-DSH-018</t>
        </is>
      </c>
      <c r="D319" t="n">
        <v>68</v>
      </c>
      <c r="E319" t="n">
        <v>240</v>
      </c>
      <c r="F319" t="inlineStr">
        <is>
          <t>Ozon Pay</t>
        </is>
      </c>
      <c r="G319" t="inlineStr">
        <is>
          <t>N</t>
        </is>
      </c>
    </row>
    <row r="320">
      <c r="A320" t="inlineStr">
        <is>
          <t>2026-04-25</t>
        </is>
      </c>
      <c r="B320" t="inlineStr">
        <is>
          <t>OZ-100009274</t>
        </is>
      </c>
      <c r="C320" t="inlineStr">
        <is>
          <t>ABC-KIT-051</t>
        </is>
      </c>
      <c r="D320" t="n">
        <v>212</v>
      </c>
      <c r="E320" t="n">
        <v>350</v>
      </c>
      <c r="F320" t="inlineStr">
        <is>
          <t>Карта</t>
        </is>
      </c>
      <c r="G320" t="inlineStr">
        <is>
          <t>N</t>
        </is>
      </c>
    </row>
    <row r="321">
      <c r="A321" t="inlineStr">
        <is>
          <t>2026-04-25</t>
        </is>
      </c>
      <c r="B321" t="inlineStr">
        <is>
          <t>OZ-100011365</t>
        </is>
      </c>
      <c r="C321" t="inlineStr">
        <is>
          <t>ABC-WND-009</t>
        </is>
      </c>
      <c r="D321" t="n">
        <v>92</v>
      </c>
      <c r="E321" t="n">
        <v>176</v>
      </c>
      <c r="F321" t="inlineStr">
        <is>
          <t>Ozon Pay</t>
        </is>
      </c>
      <c r="G321" t="inlineStr">
        <is>
          <t>N</t>
        </is>
      </c>
    </row>
    <row r="322">
      <c r="A322" t="inlineStr">
        <is>
          <t>2026-04-25</t>
        </is>
      </c>
      <c r="B322" t="inlineStr">
        <is>
          <t>OZ-100011403</t>
        </is>
      </c>
      <c r="C322" t="inlineStr">
        <is>
          <t>ABC-WND-009</t>
        </is>
      </c>
      <c r="D322" t="n">
        <v>370</v>
      </c>
      <c r="E322" t="n">
        <v>176</v>
      </c>
      <c r="F322" t="inlineStr">
        <is>
          <t>Карта</t>
        </is>
      </c>
      <c r="G322" t="inlineStr">
        <is>
          <t>N</t>
        </is>
      </c>
    </row>
    <row r="323">
      <c r="A323" t="inlineStr">
        <is>
          <t>2026-04-26</t>
        </is>
      </c>
      <c r="B323" t="inlineStr">
        <is>
          <t>OZ-100001396</t>
        </is>
      </c>
      <c r="C323" t="inlineStr">
        <is>
          <t>ABC-CLN-042</t>
        </is>
      </c>
      <c r="D323" t="n">
        <v>546</v>
      </c>
      <c r="E323" t="n">
        <v>380</v>
      </c>
      <c r="F323" t="inlineStr">
        <is>
          <t>Wallet</t>
        </is>
      </c>
      <c r="G323" t="inlineStr">
        <is>
          <t>N</t>
        </is>
      </c>
    </row>
    <row r="324">
      <c r="A324" t="inlineStr">
        <is>
          <t>2026-04-26</t>
        </is>
      </c>
      <c r="B324" t="inlineStr">
        <is>
          <t>OZ-100003344</t>
        </is>
      </c>
      <c r="C324" t="inlineStr">
        <is>
          <t>ABC-LDR-034</t>
        </is>
      </c>
      <c r="D324" t="n">
        <v>158</v>
      </c>
      <c r="E324" t="n">
        <v>720</v>
      </c>
      <c r="F324" t="inlineStr">
        <is>
          <t>Карта</t>
        </is>
      </c>
      <c r="G324" t="inlineStr">
        <is>
          <t>N</t>
        </is>
      </c>
    </row>
    <row r="325">
      <c r="A325" t="inlineStr">
        <is>
          <t>2026-04-26</t>
        </is>
      </c>
      <c r="B325" t="inlineStr">
        <is>
          <t>OZ-100003360</t>
        </is>
      </c>
      <c r="C325" t="inlineStr">
        <is>
          <t>ABC-LDR-034</t>
        </is>
      </c>
      <c r="D325" t="n">
        <v>39</v>
      </c>
      <c r="E325" t="n">
        <v>720</v>
      </c>
      <c r="F325" t="inlineStr">
        <is>
          <t>Ozon Pay</t>
        </is>
      </c>
      <c r="G325" t="inlineStr">
        <is>
          <t>N</t>
        </is>
      </c>
    </row>
    <row r="326">
      <c r="A326" t="inlineStr">
        <is>
          <t>2026-04-26</t>
        </is>
      </c>
      <c r="B326" t="inlineStr">
        <is>
          <t>OZ-100005433</t>
        </is>
      </c>
      <c r="C326" t="inlineStr">
        <is>
          <t>ABC-LDR-027</t>
        </is>
      </c>
      <c r="D326" t="n">
        <v>166</v>
      </c>
      <c r="E326" t="n">
        <v>290</v>
      </c>
      <c r="F326" t="inlineStr">
        <is>
          <t>Wallet</t>
        </is>
      </c>
      <c r="G326" t="inlineStr">
        <is>
          <t>N</t>
        </is>
      </c>
    </row>
    <row r="327">
      <c r="A327" t="inlineStr">
        <is>
          <t>2026-04-26</t>
        </is>
      </c>
      <c r="B327" t="inlineStr">
        <is>
          <t>OZ-100005473</t>
        </is>
      </c>
      <c r="C327" t="inlineStr">
        <is>
          <t>ABC-LDR-027</t>
        </is>
      </c>
      <c r="D327" t="n">
        <v>99</v>
      </c>
      <c r="E327" t="n">
        <v>290</v>
      </c>
      <c r="F327" t="inlineStr">
        <is>
          <t>Ozon Pay</t>
        </is>
      </c>
      <c r="G327" t="inlineStr">
        <is>
          <t>N</t>
        </is>
      </c>
    </row>
    <row r="328">
      <c r="A328" t="inlineStr">
        <is>
          <t>2026-04-26</t>
        </is>
      </c>
      <c r="B328" t="inlineStr">
        <is>
          <t>OZ-100005945</t>
        </is>
      </c>
      <c r="C328" t="inlineStr">
        <is>
          <t>ABC-LDR-027</t>
        </is>
      </c>
      <c r="D328" t="n">
        <v>-53</v>
      </c>
      <c r="E328" t="n">
        <v>290</v>
      </c>
      <c r="F328" t="inlineStr">
        <is>
          <t>Карта</t>
        </is>
      </c>
      <c r="G328" t="inlineStr">
        <is>
          <t>Y</t>
        </is>
      </c>
    </row>
    <row r="329">
      <c r="A329" t="inlineStr">
        <is>
          <t>2026-04-26</t>
        </is>
      </c>
      <c r="B329" t="inlineStr">
        <is>
          <t>OZ-100007275</t>
        </is>
      </c>
      <c r="C329" t="inlineStr">
        <is>
          <t>ABC-DSH-018</t>
        </is>
      </c>
      <c r="D329" t="n">
        <v>171</v>
      </c>
      <c r="E329" t="n">
        <v>240</v>
      </c>
      <c r="F329" t="inlineStr">
        <is>
          <t>Ozon Pay</t>
        </is>
      </c>
      <c r="G329" t="inlineStr">
        <is>
          <t>N</t>
        </is>
      </c>
    </row>
    <row r="330">
      <c r="A330" t="inlineStr">
        <is>
          <t>2026-04-26</t>
        </is>
      </c>
      <c r="B330" t="inlineStr">
        <is>
          <t>OZ-100007303</t>
        </is>
      </c>
      <c r="C330" t="inlineStr">
        <is>
          <t>ABC-DSH-018</t>
        </is>
      </c>
      <c r="D330" t="n">
        <v>284</v>
      </c>
      <c r="E330" t="n">
        <v>240</v>
      </c>
      <c r="F330" t="inlineStr">
        <is>
          <t>Wallet</t>
        </is>
      </c>
      <c r="G330" t="inlineStr">
        <is>
          <t>N</t>
        </is>
      </c>
    </row>
    <row r="331">
      <c r="A331" t="inlineStr">
        <is>
          <t>2026-04-26</t>
        </is>
      </c>
      <c r="B331" t="inlineStr">
        <is>
          <t>OZ-100007569</t>
        </is>
      </c>
      <c r="C331" t="inlineStr">
        <is>
          <t>ABC-DSH-018</t>
        </is>
      </c>
      <c r="D331" t="n">
        <v>-150</v>
      </c>
      <c r="E331" t="n">
        <v>240</v>
      </c>
      <c r="F331" t="inlineStr">
        <is>
          <t>Ozon Pay</t>
        </is>
      </c>
      <c r="G331" t="inlineStr">
        <is>
          <t>Y</t>
        </is>
      </c>
    </row>
    <row r="332">
      <c r="A332" t="inlineStr">
        <is>
          <t>2026-04-26</t>
        </is>
      </c>
      <c r="B332" t="inlineStr">
        <is>
          <t>OZ-100009298</t>
        </is>
      </c>
      <c r="C332" t="inlineStr">
        <is>
          <t>ABC-KIT-051</t>
        </is>
      </c>
      <c r="D332" t="n">
        <v>53</v>
      </c>
      <c r="E332" t="n">
        <v>350</v>
      </c>
      <c r="F332" t="inlineStr">
        <is>
          <t>Wallet</t>
        </is>
      </c>
      <c r="G332" t="inlineStr">
        <is>
          <t>N</t>
        </is>
      </c>
    </row>
    <row r="333">
      <c r="A333" t="inlineStr">
        <is>
          <t>2026-04-26</t>
        </is>
      </c>
      <c r="B333" t="inlineStr">
        <is>
          <t>OZ-100009332</t>
        </is>
      </c>
      <c r="C333" t="inlineStr">
        <is>
          <t>ABC-KIT-051</t>
        </is>
      </c>
      <c r="D333" t="n">
        <v>127</v>
      </c>
      <c r="E333" t="n">
        <v>350</v>
      </c>
      <c r="F333" t="inlineStr">
        <is>
          <t>Карта</t>
        </is>
      </c>
      <c r="G333" t="inlineStr">
        <is>
          <t>N</t>
        </is>
      </c>
    </row>
    <row r="334">
      <c r="A334" t="inlineStr">
        <is>
          <t>2026-04-26</t>
        </is>
      </c>
      <c r="B334" t="inlineStr">
        <is>
          <t>OZ-100009345</t>
        </is>
      </c>
      <c r="C334" t="inlineStr">
        <is>
          <t>ABC-KIT-051</t>
        </is>
      </c>
      <c r="D334" t="n">
        <v>32</v>
      </c>
      <c r="E334" t="n">
        <v>350</v>
      </c>
      <c r="F334" t="inlineStr">
        <is>
          <t>Ozon Pay</t>
        </is>
      </c>
      <c r="G334" t="inlineStr">
        <is>
          <t>N</t>
        </is>
      </c>
    </row>
    <row r="335">
      <c r="A335" t="inlineStr">
        <is>
          <t>2026-04-26</t>
        </is>
      </c>
      <c r="B335" t="inlineStr">
        <is>
          <t>OZ-100009831</t>
        </is>
      </c>
      <c r="C335" t="inlineStr">
        <is>
          <t>ABC-KIT-051</t>
        </is>
      </c>
      <c r="D335" t="n">
        <v>-98</v>
      </c>
      <c r="E335" t="n">
        <v>315</v>
      </c>
      <c r="F335" t="inlineStr">
        <is>
          <t>Wallet</t>
        </is>
      </c>
      <c r="G335" t="inlineStr">
        <is>
          <t>Y</t>
        </is>
      </c>
    </row>
    <row r="336">
      <c r="A336" t="inlineStr">
        <is>
          <t>2026-04-26</t>
        </is>
      </c>
      <c r="B336" t="inlineStr">
        <is>
          <t>OZ-100011444</t>
        </is>
      </c>
      <c r="C336" t="inlineStr">
        <is>
          <t>ABC-WND-009</t>
        </is>
      </c>
      <c r="D336" t="n">
        <v>462</v>
      </c>
      <c r="E336" t="n">
        <v>176</v>
      </c>
      <c r="F336" t="inlineStr">
        <is>
          <t>Ozon Pay</t>
        </is>
      </c>
      <c r="G336" t="inlineStr">
        <is>
          <t>N</t>
        </is>
      </c>
    </row>
    <row r="337">
      <c r="A337" t="inlineStr">
        <is>
          <t>2026-04-26</t>
        </is>
      </c>
      <c r="B337" t="inlineStr">
        <is>
          <t>OZ-100011663</t>
        </is>
      </c>
      <c r="C337" t="inlineStr">
        <is>
          <t>ABC-WND-009</t>
        </is>
      </c>
      <c r="D337" t="n">
        <v>-97</v>
      </c>
      <c r="E337" t="n">
        <v>220</v>
      </c>
      <c r="F337" t="inlineStr">
        <is>
          <t>Wallet</t>
        </is>
      </c>
      <c r="G337" t="inlineStr">
        <is>
          <t>Y</t>
        </is>
      </c>
    </row>
    <row r="338">
      <c r="A338" t="inlineStr">
        <is>
          <t>2026-04-26</t>
        </is>
      </c>
      <c r="B338" t="inlineStr">
        <is>
          <t>OZ-100011755</t>
        </is>
      </c>
      <c r="C338" t="inlineStr">
        <is>
          <t>ABC-WND-009</t>
        </is>
      </c>
      <c r="D338" t="n">
        <v>-97</v>
      </c>
      <c r="E338" t="n">
        <v>220</v>
      </c>
      <c r="F338" t="inlineStr">
        <is>
          <t>Карта</t>
        </is>
      </c>
      <c r="G338" t="inlineStr">
        <is>
          <t>Y</t>
        </is>
      </c>
    </row>
    <row r="339">
      <c r="A339" t="inlineStr">
        <is>
          <t>2026-04-27</t>
        </is>
      </c>
      <c r="B339" t="inlineStr">
        <is>
          <t>OZ-100001417</t>
        </is>
      </c>
      <c r="C339" t="inlineStr">
        <is>
          <t>ABC-CLN-042</t>
        </is>
      </c>
      <c r="D339" t="n">
        <v>546</v>
      </c>
      <c r="E339" t="n">
        <v>380</v>
      </c>
      <c r="F339" t="inlineStr">
        <is>
          <t>Карта</t>
        </is>
      </c>
      <c r="G339" t="inlineStr">
        <is>
          <t>N</t>
        </is>
      </c>
    </row>
    <row r="340">
      <c r="A340" t="inlineStr">
        <is>
          <t>2026-04-27</t>
        </is>
      </c>
      <c r="B340" t="inlineStr">
        <is>
          <t>OZ-100001775</t>
        </is>
      </c>
      <c r="C340" t="inlineStr">
        <is>
          <t>ABC-CLN-042</t>
        </is>
      </c>
      <c r="D340" t="n">
        <v>-228</v>
      </c>
      <c r="E340" t="n">
        <v>304</v>
      </c>
      <c r="F340" t="inlineStr">
        <is>
          <t>Wallet</t>
        </is>
      </c>
      <c r="G340" t="inlineStr">
        <is>
          <t>Y</t>
        </is>
      </c>
    </row>
    <row r="341">
      <c r="A341" t="inlineStr">
        <is>
          <t>2026-04-27</t>
        </is>
      </c>
      <c r="B341" t="inlineStr">
        <is>
          <t>OZ-100003380</t>
        </is>
      </c>
      <c r="C341" t="inlineStr">
        <is>
          <t>ABC-LDR-034</t>
        </is>
      </c>
      <c r="D341" t="n">
        <v>118</v>
      </c>
      <c r="E341" t="n">
        <v>720</v>
      </c>
      <c r="F341" t="inlineStr">
        <is>
          <t>Карта</t>
        </is>
      </c>
      <c r="G341" t="inlineStr">
        <is>
          <t>N</t>
        </is>
      </c>
    </row>
    <row r="342">
      <c r="A342" t="inlineStr">
        <is>
          <t>2026-04-27</t>
        </is>
      </c>
      <c r="B342" t="inlineStr">
        <is>
          <t>OZ-100003403</t>
        </is>
      </c>
      <c r="C342" t="inlineStr">
        <is>
          <t>ABC-LDR-034</t>
        </is>
      </c>
      <c r="D342" t="n">
        <v>49</v>
      </c>
      <c r="E342" t="n">
        <v>720</v>
      </c>
      <c r="F342" t="inlineStr">
        <is>
          <t>Wallet</t>
        </is>
      </c>
      <c r="G342" t="inlineStr">
        <is>
          <t>N</t>
        </is>
      </c>
    </row>
    <row r="343">
      <c r="A343" t="inlineStr">
        <is>
          <t>2026-04-27</t>
        </is>
      </c>
      <c r="B343" t="inlineStr">
        <is>
          <t>OZ-100003444</t>
        </is>
      </c>
      <c r="C343" t="inlineStr">
        <is>
          <t>ABC-LDR-034</t>
        </is>
      </c>
      <c r="D343" t="n">
        <v>30</v>
      </c>
      <c r="E343" t="n">
        <v>720</v>
      </c>
      <c r="F343" t="inlineStr">
        <is>
          <t>Ozon Pay</t>
        </is>
      </c>
      <c r="G343" t="inlineStr">
        <is>
          <t>N</t>
        </is>
      </c>
    </row>
    <row r="344">
      <c r="A344" t="inlineStr">
        <is>
          <t>2026-04-27</t>
        </is>
      </c>
      <c r="B344" t="inlineStr">
        <is>
          <t>OZ-100005512</t>
        </is>
      </c>
      <c r="C344" t="inlineStr">
        <is>
          <t>ABC-LDR-027</t>
        </is>
      </c>
      <c r="D344" t="n">
        <v>159</v>
      </c>
      <c r="E344" t="n">
        <v>290</v>
      </c>
      <c r="F344" t="inlineStr">
        <is>
          <t>Карта</t>
        </is>
      </c>
      <c r="G344" t="inlineStr">
        <is>
          <t>N</t>
        </is>
      </c>
    </row>
    <row r="345">
      <c r="A345" t="inlineStr">
        <is>
          <t>2026-04-27</t>
        </is>
      </c>
      <c r="B345" t="inlineStr">
        <is>
          <t>OZ-100005537</t>
        </is>
      </c>
      <c r="C345" t="inlineStr">
        <is>
          <t>ABC-LDR-027</t>
        </is>
      </c>
      <c r="D345" t="n">
        <v>66</v>
      </c>
      <c r="E345" t="n">
        <v>290</v>
      </c>
      <c r="F345" t="inlineStr">
        <is>
          <t>Wallet</t>
        </is>
      </c>
      <c r="G345" t="inlineStr">
        <is>
          <t>N</t>
        </is>
      </c>
    </row>
    <row r="346">
      <c r="A346" t="inlineStr">
        <is>
          <t>2026-04-27</t>
        </is>
      </c>
      <c r="B346" t="inlineStr">
        <is>
          <t>OZ-100005557</t>
        </is>
      </c>
      <c r="C346" t="inlineStr">
        <is>
          <t>ABC-LDR-027</t>
        </is>
      </c>
      <c r="D346" t="n">
        <v>40</v>
      </c>
      <c r="E346" t="n">
        <v>290</v>
      </c>
      <c r="F346" t="inlineStr">
        <is>
          <t>Ozon Pay</t>
        </is>
      </c>
      <c r="G346" t="inlineStr">
        <is>
          <t>N</t>
        </is>
      </c>
    </row>
    <row r="347">
      <c r="A347" t="inlineStr">
        <is>
          <t>2026-04-27</t>
        </is>
      </c>
      <c r="B347" t="inlineStr">
        <is>
          <t>OZ-100005985</t>
        </is>
      </c>
      <c r="C347" t="inlineStr">
        <is>
          <t>ABC-LDR-027</t>
        </is>
      </c>
      <c r="D347" t="n">
        <v>-59</v>
      </c>
      <c r="E347" t="n">
        <v>290</v>
      </c>
      <c r="F347" t="inlineStr">
        <is>
          <t>Ozon Pay</t>
        </is>
      </c>
      <c r="G347" t="inlineStr">
        <is>
          <t>Y</t>
        </is>
      </c>
    </row>
    <row r="348">
      <c r="A348" t="inlineStr">
        <is>
          <t>2026-04-27</t>
        </is>
      </c>
      <c r="B348" t="inlineStr">
        <is>
          <t>OZ-100007319</t>
        </is>
      </c>
      <c r="C348" t="inlineStr">
        <is>
          <t>ABC-DSH-018</t>
        </is>
      </c>
      <c r="D348" t="n">
        <v>455</v>
      </c>
      <c r="E348" t="n">
        <v>240</v>
      </c>
      <c r="F348" t="inlineStr">
        <is>
          <t>Wallet</t>
        </is>
      </c>
      <c r="G348" t="inlineStr">
        <is>
          <t>N</t>
        </is>
      </c>
    </row>
    <row r="349">
      <c r="A349" t="inlineStr">
        <is>
          <t>2026-04-27</t>
        </is>
      </c>
      <c r="B349" t="inlineStr">
        <is>
          <t>OZ-100009370</t>
        </is>
      </c>
      <c r="C349" t="inlineStr">
        <is>
          <t>ABC-KIT-051</t>
        </is>
      </c>
      <c r="D349" t="n">
        <v>32</v>
      </c>
      <c r="E349" t="n">
        <v>350</v>
      </c>
      <c r="F349" t="inlineStr">
        <is>
          <t>Ozon Pay</t>
        </is>
      </c>
      <c r="G349" t="inlineStr">
        <is>
          <t>N</t>
        </is>
      </c>
    </row>
    <row r="350">
      <c r="A350" t="inlineStr">
        <is>
          <t>2026-04-27</t>
        </is>
      </c>
      <c r="B350" t="inlineStr">
        <is>
          <t>OZ-100009413</t>
        </is>
      </c>
      <c r="C350" t="inlineStr">
        <is>
          <t>ABC-KIT-051</t>
        </is>
      </c>
      <c r="D350" t="n">
        <v>127</v>
      </c>
      <c r="E350" t="n">
        <v>350</v>
      </c>
      <c r="F350" t="inlineStr">
        <is>
          <t>Карта</t>
        </is>
      </c>
      <c r="G350" t="inlineStr">
        <is>
          <t>N</t>
        </is>
      </c>
    </row>
    <row r="351">
      <c r="A351" t="inlineStr">
        <is>
          <t>2026-04-27</t>
        </is>
      </c>
      <c r="B351" t="inlineStr">
        <is>
          <t>OZ-100009435</t>
        </is>
      </c>
      <c r="C351" t="inlineStr">
        <is>
          <t>ABC-KIT-051</t>
        </is>
      </c>
      <c r="D351" t="n">
        <v>53</v>
      </c>
      <c r="E351" t="n">
        <v>350</v>
      </c>
      <c r="F351" t="inlineStr">
        <is>
          <t>Wallet</t>
        </is>
      </c>
      <c r="G351" t="inlineStr">
        <is>
          <t>N</t>
        </is>
      </c>
    </row>
    <row r="352">
      <c r="A352" t="inlineStr">
        <is>
          <t>2026-04-27</t>
        </is>
      </c>
      <c r="B352" t="inlineStr">
        <is>
          <t>OZ-100011475</t>
        </is>
      </c>
      <c r="C352" t="inlineStr">
        <is>
          <t>ABC-WND-009</t>
        </is>
      </c>
      <c r="D352" t="n">
        <v>370</v>
      </c>
      <c r="E352" t="n">
        <v>176</v>
      </c>
      <c r="F352" t="inlineStr">
        <is>
          <t>Карта</t>
        </is>
      </c>
      <c r="G352" t="inlineStr">
        <is>
          <t>N</t>
        </is>
      </c>
    </row>
    <row r="353">
      <c r="A353" t="inlineStr">
        <is>
          <t>2026-04-27</t>
        </is>
      </c>
      <c r="B353" t="inlineStr">
        <is>
          <t>OZ-100011499</t>
        </is>
      </c>
      <c r="C353" t="inlineStr">
        <is>
          <t>ABC-WND-009</t>
        </is>
      </c>
      <c r="D353" t="n">
        <v>92</v>
      </c>
      <c r="E353" t="n">
        <v>176</v>
      </c>
      <c r="F353" t="inlineStr">
        <is>
          <t>Ozon Pay</t>
        </is>
      </c>
      <c r="G353" t="inlineStr">
        <is>
          <t>N</t>
        </is>
      </c>
    </row>
    <row r="354">
      <c r="A354" t="inlineStr">
        <is>
          <t>2026-04-28</t>
        </is>
      </c>
      <c r="B354" t="inlineStr">
        <is>
          <t>OZ-100001455</t>
        </is>
      </c>
      <c r="C354" t="inlineStr">
        <is>
          <t>ABC-CLN-042</t>
        </is>
      </c>
      <c r="D354" t="n">
        <v>546</v>
      </c>
      <c r="E354" t="n">
        <v>380</v>
      </c>
      <c r="F354" t="inlineStr">
        <is>
          <t>Wallet</t>
        </is>
      </c>
      <c r="G354" t="inlineStr">
        <is>
          <t>N</t>
        </is>
      </c>
    </row>
    <row r="355">
      <c r="A355" t="inlineStr">
        <is>
          <t>2026-04-28</t>
        </is>
      </c>
      <c r="B355" t="inlineStr">
        <is>
          <t>OZ-100001702</t>
        </is>
      </c>
      <c r="C355" t="inlineStr">
        <is>
          <t>ABC-CLN-042</t>
        </is>
      </c>
      <c r="D355" t="n">
        <v>-228</v>
      </c>
      <c r="E355" t="n">
        <v>380</v>
      </c>
      <c r="F355" t="inlineStr">
        <is>
          <t>Wallet</t>
        </is>
      </c>
      <c r="G355" t="inlineStr">
        <is>
          <t>Y</t>
        </is>
      </c>
    </row>
    <row r="356">
      <c r="A356" t="inlineStr">
        <is>
          <t>2026-04-28</t>
        </is>
      </c>
      <c r="B356" t="inlineStr">
        <is>
          <t>OZ-100003490</t>
        </is>
      </c>
      <c r="C356" t="inlineStr">
        <is>
          <t>ABC-LDR-034</t>
        </is>
      </c>
      <c r="D356" t="n">
        <v>158</v>
      </c>
      <c r="E356" t="n">
        <v>720</v>
      </c>
      <c r="F356" t="inlineStr">
        <is>
          <t>Карта</t>
        </is>
      </c>
      <c r="G356" t="inlineStr">
        <is>
          <t>N</t>
        </is>
      </c>
    </row>
    <row r="357">
      <c r="A357" t="inlineStr">
        <is>
          <t>2026-04-28</t>
        </is>
      </c>
      <c r="B357" t="inlineStr">
        <is>
          <t>OZ-100003504</t>
        </is>
      </c>
      <c r="C357" t="inlineStr">
        <is>
          <t>ABC-LDR-034</t>
        </is>
      </c>
      <c r="D357" t="n">
        <v>39</v>
      </c>
      <c r="E357" t="n">
        <v>720</v>
      </c>
      <c r="F357" t="inlineStr">
        <is>
          <t>Ozon Pay</t>
        </is>
      </c>
      <c r="G357" t="inlineStr">
        <is>
          <t>N</t>
        </is>
      </c>
    </row>
    <row r="358">
      <c r="A358" t="inlineStr">
        <is>
          <t>2026-04-28</t>
        </is>
      </c>
      <c r="B358" t="inlineStr">
        <is>
          <t>OZ-100005602</t>
        </is>
      </c>
      <c r="C358" t="inlineStr">
        <is>
          <t>ABC-LDR-027</t>
        </is>
      </c>
      <c r="D358" t="n">
        <v>66</v>
      </c>
      <c r="E358" t="n">
        <v>290</v>
      </c>
      <c r="F358" t="inlineStr">
        <is>
          <t>Wallet</t>
        </is>
      </c>
      <c r="G358" t="inlineStr">
        <is>
          <t>N</t>
        </is>
      </c>
    </row>
    <row r="359">
      <c r="A359" t="inlineStr">
        <is>
          <t>2026-04-28</t>
        </is>
      </c>
      <c r="B359" t="inlineStr">
        <is>
          <t>OZ-100005630</t>
        </is>
      </c>
      <c r="C359" t="inlineStr">
        <is>
          <t>ABC-LDR-027</t>
        </is>
      </c>
      <c r="D359" t="n">
        <v>40</v>
      </c>
      <c r="E359" t="n">
        <v>290</v>
      </c>
      <c r="F359" t="inlineStr">
        <is>
          <t>Ozon Pay</t>
        </is>
      </c>
      <c r="G359" t="inlineStr">
        <is>
          <t>N</t>
        </is>
      </c>
    </row>
    <row r="360">
      <c r="A360" t="inlineStr">
        <is>
          <t>2026-04-28</t>
        </is>
      </c>
      <c r="B360" t="inlineStr">
        <is>
          <t>OZ-100005655</t>
        </is>
      </c>
      <c r="C360" t="inlineStr">
        <is>
          <t>ABC-LDR-027</t>
        </is>
      </c>
      <c r="D360" t="n">
        <v>159</v>
      </c>
      <c r="E360" t="n">
        <v>290</v>
      </c>
      <c r="F360" t="inlineStr">
        <is>
          <t>Карта</t>
        </is>
      </c>
      <c r="G360" t="inlineStr">
        <is>
          <t>N</t>
        </is>
      </c>
    </row>
    <row r="361">
      <c r="A361" t="inlineStr">
        <is>
          <t>2026-04-28</t>
        </is>
      </c>
      <c r="B361" t="inlineStr">
        <is>
          <t>OZ-100005965</t>
        </is>
      </c>
      <c r="C361" t="inlineStr">
        <is>
          <t>ABC-LDR-027</t>
        </is>
      </c>
      <c r="D361" t="n">
        <v>-53</v>
      </c>
      <c r="E361" t="n">
        <v>290</v>
      </c>
      <c r="F361" t="inlineStr">
        <is>
          <t>Wallet</t>
        </is>
      </c>
      <c r="G361" t="inlineStr">
        <is>
          <t>Y</t>
        </is>
      </c>
    </row>
    <row r="362">
      <c r="A362" t="inlineStr">
        <is>
          <t>2026-04-28</t>
        </is>
      </c>
      <c r="B362" t="inlineStr">
        <is>
          <t>OZ-100007346</t>
        </is>
      </c>
      <c r="C362" t="inlineStr">
        <is>
          <t>ABC-DSH-018</t>
        </is>
      </c>
      <c r="D362" t="n">
        <v>114</v>
      </c>
      <c r="E362" t="n">
        <v>240</v>
      </c>
      <c r="F362" t="inlineStr">
        <is>
          <t>Wallet</t>
        </is>
      </c>
      <c r="G362" t="inlineStr">
        <is>
          <t>N</t>
        </is>
      </c>
    </row>
    <row r="363">
      <c r="A363" t="inlineStr">
        <is>
          <t>2026-04-28</t>
        </is>
      </c>
      <c r="B363" t="inlineStr">
        <is>
          <t>OZ-100007389</t>
        </is>
      </c>
      <c r="C363" t="inlineStr">
        <is>
          <t>ABC-DSH-018</t>
        </is>
      </c>
      <c r="D363" t="n">
        <v>273</v>
      </c>
      <c r="E363" t="n">
        <v>240</v>
      </c>
      <c r="F363" t="inlineStr">
        <is>
          <t>Карта</t>
        </is>
      </c>
      <c r="G363" t="inlineStr">
        <is>
          <t>N</t>
        </is>
      </c>
    </row>
    <row r="364">
      <c r="A364" t="inlineStr">
        <is>
          <t>2026-04-28</t>
        </is>
      </c>
      <c r="B364" t="inlineStr">
        <is>
          <t>OZ-100007405</t>
        </is>
      </c>
      <c r="C364" t="inlineStr">
        <is>
          <t>ABC-DSH-018</t>
        </is>
      </c>
      <c r="D364" t="n">
        <v>68</v>
      </c>
      <c r="E364" t="n">
        <v>240</v>
      </c>
      <c r="F364" t="inlineStr">
        <is>
          <t>Ozon Pay</t>
        </is>
      </c>
      <c r="G364" t="inlineStr">
        <is>
          <t>N</t>
        </is>
      </c>
    </row>
    <row r="365">
      <c r="A365" t="inlineStr">
        <is>
          <t>2026-04-28</t>
        </is>
      </c>
      <c r="B365" t="inlineStr">
        <is>
          <t>OZ-100009471</t>
        </is>
      </c>
      <c r="C365" t="inlineStr">
        <is>
          <t>ABC-KIT-051</t>
        </is>
      </c>
      <c r="D365" t="n">
        <v>53</v>
      </c>
      <c r="E365" t="n">
        <v>350</v>
      </c>
      <c r="F365" t="inlineStr">
        <is>
          <t>Wallet</t>
        </is>
      </c>
      <c r="G365" t="inlineStr">
        <is>
          <t>N</t>
        </is>
      </c>
    </row>
    <row r="366">
      <c r="A366" t="inlineStr">
        <is>
          <t>2026-04-28</t>
        </is>
      </c>
      <c r="B366" t="inlineStr">
        <is>
          <t>OZ-100009496</t>
        </is>
      </c>
      <c r="C366" t="inlineStr">
        <is>
          <t>ABC-KIT-051</t>
        </is>
      </c>
      <c r="D366" t="n">
        <v>32</v>
      </c>
      <c r="E366" t="n">
        <v>350</v>
      </c>
      <c r="F366" t="inlineStr">
        <is>
          <t>Ozon Pay</t>
        </is>
      </c>
      <c r="G366" t="inlineStr">
        <is>
          <t>N</t>
        </is>
      </c>
    </row>
    <row r="367">
      <c r="A367" t="inlineStr">
        <is>
          <t>2026-04-28</t>
        </is>
      </c>
      <c r="B367" t="inlineStr">
        <is>
          <t>OZ-100009510</t>
        </is>
      </c>
      <c r="C367" t="inlineStr">
        <is>
          <t>ABC-KIT-051</t>
        </is>
      </c>
      <c r="D367" t="n">
        <v>127</v>
      </c>
      <c r="E367" t="n">
        <v>350</v>
      </c>
      <c r="F367" t="inlineStr">
        <is>
          <t>Карта</t>
        </is>
      </c>
      <c r="G367" t="inlineStr">
        <is>
          <t>N</t>
        </is>
      </c>
    </row>
    <row r="368">
      <c r="A368" t="inlineStr">
        <is>
          <t>2026-04-28</t>
        </is>
      </c>
      <c r="B368" t="inlineStr">
        <is>
          <t>OZ-100011541</t>
        </is>
      </c>
      <c r="C368" t="inlineStr">
        <is>
          <t>ABC-WND-009</t>
        </is>
      </c>
      <c r="D368" t="n">
        <v>289</v>
      </c>
      <c r="E368" t="n">
        <v>220</v>
      </c>
      <c r="F368" t="inlineStr">
        <is>
          <t>Wallet</t>
        </is>
      </c>
      <c r="G368" t="inlineStr">
        <is>
          <t>N</t>
        </is>
      </c>
    </row>
    <row r="369">
      <c r="A369" t="inlineStr">
        <is>
          <t>2026-04-29</t>
        </is>
      </c>
      <c r="B369" t="inlineStr">
        <is>
          <t>OZ-100001485</t>
        </is>
      </c>
      <c r="C369" t="inlineStr">
        <is>
          <t>ABC-CLN-042</t>
        </is>
      </c>
      <c r="D369" t="n">
        <v>136</v>
      </c>
      <c r="E369" t="n">
        <v>380</v>
      </c>
      <c r="F369" t="inlineStr">
        <is>
          <t>Wallet</t>
        </is>
      </c>
      <c r="G369" t="inlineStr">
        <is>
          <t>N</t>
        </is>
      </c>
    </row>
    <row r="370">
      <c r="A370" t="inlineStr">
        <is>
          <t>2026-04-29</t>
        </is>
      </c>
      <c r="B370" t="inlineStr">
        <is>
          <t>OZ-100001506</t>
        </is>
      </c>
      <c r="C370" t="inlineStr">
        <is>
          <t>ABC-CLN-042</t>
        </is>
      </c>
      <c r="D370" t="n">
        <v>82</v>
      </c>
      <c r="E370" t="n">
        <v>380</v>
      </c>
      <c r="F370" t="inlineStr">
        <is>
          <t>Ozon Pay</t>
        </is>
      </c>
      <c r="G370" t="inlineStr">
        <is>
          <t>N</t>
        </is>
      </c>
    </row>
    <row r="371">
      <c r="A371" t="inlineStr">
        <is>
          <t>2026-04-29</t>
        </is>
      </c>
      <c r="B371" t="inlineStr">
        <is>
          <t>OZ-100001536</t>
        </is>
      </c>
      <c r="C371" t="inlineStr">
        <is>
          <t>ABC-CLN-042</t>
        </is>
      </c>
      <c r="D371" t="n">
        <v>328</v>
      </c>
      <c r="E371" t="n">
        <v>380</v>
      </c>
      <c r="F371" t="inlineStr">
        <is>
          <t>Карта</t>
        </is>
      </c>
      <c r="G371" t="inlineStr">
        <is>
          <t>N</t>
        </is>
      </c>
    </row>
    <row r="372">
      <c r="A372" t="inlineStr">
        <is>
          <t>2026-04-29</t>
        </is>
      </c>
      <c r="B372" t="inlineStr">
        <is>
          <t>OZ-100003520</t>
        </is>
      </c>
      <c r="C372" t="inlineStr">
        <is>
          <t>ABC-LDR-034</t>
        </is>
      </c>
      <c r="D372" t="n">
        <v>158</v>
      </c>
      <c r="E372" t="n">
        <v>720</v>
      </c>
      <c r="F372" t="inlineStr">
        <is>
          <t>Карта</t>
        </is>
      </c>
      <c r="G372" t="inlineStr">
        <is>
          <t>N</t>
        </is>
      </c>
    </row>
    <row r="373">
      <c r="A373" t="inlineStr">
        <is>
          <t>2026-04-29</t>
        </is>
      </c>
      <c r="B373" t="inlineStr">
        <is>
          <t>OZ-100003534</t>
        </is>
      </c>
      <c r="C373" t="inlineStr">
        <is>
          <t>ABC-LDR-034</t>
        </is>
      </c>
      <c r="D373" t="n">
        <v>39</v>
      </c>
      <c r="E373" t="n">
        <v>720</v>
      </c>
      <c r="F373" t="inlineStr">
        <is>
          <t>Ozon Pay</t>
        </is>
      </c>
      <c r="G373" t="inlineStr">
        <is>
          <t>N</t>
        </is>
      </c>
    </row>
    <row r="374">
      <c r="A374" t="inlineStr">
        <is>
          <t>2026-04-29</t>
        </is>
      </c>
      <c r="B374" t="inlineStr">
        <is>
          <t>OZ-100005692</t>
        </is>
      </c>
      <c r="C374" t="inlineStr">
        <is>
          <t>ABC-LDR-027</t>
        </is>
      </c>
      <c r="D374" t="n">
        <v>99</v>
      </c>
      <c r="E374" t="n">
        <v>290</v>
      </c>
      <c r="F374" t="inlineStr">
        <is>
          <t>Ozon Pay</t>
        </is>
      </c>
      <c r="G374" t="inlineStr">
        <is>
          <t>N</t>
        </is>
      </c>
    </row>
    <row r="375">
      <c r="A375" t="inlineStr">
        <is>
          <t>2026-04-29</t>
        </is>
      </c>
      <c r="B375" t="inlineStr">
        <is>
          <t>OZ-100005706</t>
        </is>
      </c>
      <c r="C375" t="inlineStr">
        <is>
          <t>ABC-LDR-027</t>
        </is>
      </c>
      <c r="D375" t="n">
        <v>166</v>
      </c>
      <c r="E375" t="n">
        <v>290</v>
      </c>
      <c r="F375" t="inlineStr">
        <is>
          <t>Wallet</t>
        </is>
      </c>
      <c r="G375" t="inlineStr">
        <is>
          <t>N</t>
        </is>
      </c>
    </row>
    <row r="376">
      <c r="A376" t="inlineStr">
        <is>
          <t>2026-04-29</t>
        </is>
      </c>
      <c r="B376" t="inlineStr">
        <is>
          <t>OZ-100007433</t>
        </is>
      </c>
      <c r="C376" t="inlineStr">
        <is>
          <t>ABC-DSH-018</t>
        </is>
      </c>
      <c r="D376" t="n">
        <v>114</v>
      </c>
      <c r="E376" t="n">
        <v>240</v>
      </c>
      <c r="F376" t="inlineStr">
        <is>
          <t>Wallet</t>
        </is>
      </c>
      <c r="G376" t="inlineStr">
        <is>
          <t>N</t>
        </is>
      </c>
    </row>
    <row r="377">
      <c r="A377" t="inlineStr">
        <is>
          <t>2026-04-29</t>
        </is>
      </c>
      <c r="B377" t="inlineStr">
        <is>
          <t>OZ-100007448</t>
        </is>
      </c>
      <c r="C377" t="inlineStr">
        <is>
          <t>ABC-DSH-018</t>
        </is>
      </c>
      <c r="D377" t="n">
        <v>273</v>
      </c>
      <c r="E377" t="n">
        <v>240</v>
      </c>
      <c r="F377" t="inlineStr">
        <is>
          <t>Карта</t>
        </is>
      </c>
      <c r="G377" t="inlineStr">
        <is>
          <t>N</t>
        </is>
      </c>
    </row>
    <row r="378">
      <c r="A378" t="inlineStr">
        <is>
          <t>2026-04-29</t>
        </is>
      </c>
      <c r="B378" t="inlineStr">
        <is>
          <t>OZ-100007493</t>
        </is>
      </c>
      <c r="C378" t="inlineStr">
        <is>
          <t>ABC-DSH-018</t>
        </is>
      </c>
      <c r="D378" t="n">
        <v>68</v>
      </c>
      <c r="E378" t="n">
        <v>240</v>
      </c>
      <c r="F378" t="inlineStr">
        <is>
          <t>Ozon Pay</t>
        </is>
      </c>
      <c r="G378" t="inlineStr">
        <is>
          <t>N</t>
        </is>
      </c>
    </row>
    <row r="379">
      <c r="A379" t="inlineStr">
        <is>
          <t>2026-04-29</t>
        </is>
      </c>
      <c r="B379" t="inlineStr">
        <is>
          <t>OZ-100009531</t>
        </is>
      </c>
      <c r="C379" t="inlineStr">
        <is>
          <t>ABC-KIT-051</t>
        </is>
      </c>
      <c r="D379" t="n">
        <v>53</v>
      </c>
      <c r="E379" t="n">
        <v>350</v>
      </c>
      <c r="F379" t="inlineStr">
        <is>
          <t>Wallet</t>
        </is>
      </c>
      <c r="G379" t="inlineStr">
        <is>
          <t>N</t>
        </is>
      </c>
    </row>
    <row r="380">
      <c r="A380" t="inlineStr">
        <is>
          <t>2026-04-29</t>
        </is>
      </c>
      <c r="B380" t="inlineStr">
        <is>
          <t>OZ-100009563</t>
        </is>
      </c>
      <c r="C380" t="inlineStr">
        <is>
          <t>ABC-KIT-051</t>
        </is>
      </c>
      <c r="D380" t="n">
        <v>127</v>
      </c>
      <c r="E380" t="n">
        <v>350</v>
      </c>
      <c r="F380" t="inlineStr">
        <is>
          <t>Карта</t>
        </is>
      </c>
      <c r="G380" t="inlineStr">
        <is>
          <t>N</t>
        </is>
      </c>
    </row>
    <row r="381">
      <c r="A381" t="inlineStr">
        <is>
          <t>2026-04-29</t>
        </is>
      </c>
      <c r="B381" t="inlineStr">
        <is>
          <t>OZ-100009580</t>
        </is>
      </c>
      <c r="C381" t="inlineStr">
        <is>
          <t>ABC-KIT-051</t>
        </is>
      </c>
      <c r="D381" t="n">
        <v>32</v>
      </c>
      <c r="E381" t="n">
        <v>350</v>
      </c>
      <c r="F381" t="inlineStr">
        <is>
          <t>Ozon Pay</t>
        </is>
      </c>
      <c r="G381" t="inlineStr">
        <is>
          <t>N</t>
        </is>
      </c>
    </row>
    <row r="382">
      <c r="A382" t="inlineStr">
        <is>
          <t>2026-04-29</t>
        </is>
      </c>
      <c r="B382" t="inlineStr">
        <is>
          <t>OZ-100011579</t>
        </is>
      </c>
      <c r="C382" t="inlineStr">
        <is>
          <t>ABC-WND-009</t>
        </is>
      </c>
      <c r="D382" t="n">
        <v>85</v>
      </c>
      <c r="E382" t="n">
        <v>220</v>
      </c>
      <c r="F382" t="inlineStr">
        <is>
          <t>Wallet</t>
        </is>
      </c>
      <c r="G382" t="inlineStr">
        <is>
          <t>N</t>
        </is>
      </c>
    </row>
    <row r="383">
      <c r="A383" t="inlineStr">
        <is>
          <t>2026-04-29</t>
        </is>
      </c>
      <c r="B383" t="inlineStr">
        <is>
          <t>OZ-100011599</t>
        </is>
      </c>
      <c r="C383" t="inlineStr">
        <is>
          <t>ABC-WND-009</t>
        </is>
      </c>
      <c r="D383" t="n">
        <v>204</v>
      </c>
      <c r="E383" t="n">
        <v>220</v>
      </c>
      <c r="F383" t="inlineStr">
        <is>
          <t>Карта</t>
        </is>
      </c>
      <c r="G383" t="inlineStr">
        <is>
          <t>N</t>
        </is>
      </c>
    </row>
    <row r="384">
      <c r="A384" t="inlineStr">
        <is>
          <t>2026-04-30</t>
        </is>
      </c>
      <c r="B384" t="inlineStr">
        <is>
          <t>OZ-100001551</t>
        </is>
      </c>
      <c r="C384" t="inlineStr">
        <is>
          <t>ABC-CLN-042</t>
        </is>
      </c>
      <c r="D384" t="n">
        <v>82</v>
      </c>
      <c r="E384" t="n">
        <v>380</v>
      </c>
      <c r="F384" t="inlineStr">
        <is>
          <t>Ozon Pay</t>
        </is>
      </c>
      <c r="G384" t="inlineStr">
        <is>
          <t>N</t>
        </is>
      </c>
    </row>
    <row r="385">
      <c r="A385" t="inlineStr">
        <is>
          <t>2026-04-30</t>
        </is>
      </c>
      <c r="B385" t="inlineStr">
        <is>
          <t>OZ-100001578</t>
        </is>
      </c>
      <c r="C385" t="inlineStr">
        <is>
          <t>ABC-CLN-042</t>
        </is>
      </c>
      <c r="D385" t="n">
        <v>136</v>
      </c>
      <c r="E385" t="n">
        <v>380</v>
      </c>
      <c r="F385" t="inlineStr">
        <is>
          <t>Wallet</t>
        </is>
      </c>
      <c r="G385" t="inlineStr">
        <is>
          <t>N</t>
        </is>
      </c>
    </row>
    <row r="386">
      <c r="A386" t="inlineStr">
        <is>
          <t>2026-04-30</t>
        </is>
      </c>
      <c r="B386" t="inlineStr">
        <is>
          <t>OZ-100001622</t>
        </is>
      </c>
      <c r="C386" t="inlineStr">
        <is>
          <t>ABC-CLN-042</t>
        </is>
      </c>
      <c r="D386" t="n">
        <v>328</v>
      </c>
      <c r="E386" t="n">
        <v>380</v>
      </c>
      <c r="F386" t="inlineStr">
        <is>
          <t>Карта</t>
        </is>
      </c>
      <c r="G386" t="inlineStr">
        <is>
          <t>N</t>
        </is>
      </c>
    </row>
    <row r="387">
      <c r="A387" t="inlineStr">
        <is>
          <t>2026-04-30</t>
        </is>
      </c>
      <c r="B387" t="inlineStr">
        <is>
          <t>OZ-100003554</t>
        </is>
      </c>
      <c r="C387" t="inlineStr">
        <is>
          <t>ABC-LDR-034</t>
        </is>
      </c>
      <c r="D387" t="n">
        <v>30</v>
      </c>
      <c r="E387" t="n">
        <v>720</v>
      </c>
      <c r="F387" t="inlineStr">
        <is>
          <t>Ozon Pay</t>
        </is>
      </c>
      <c r="G387" t="inlineStr">
        <is>
          <t>N</t>
        </is>
      </c>
    </row>
    <row r="388">
      <c r="A388" t="inlineStr">
        <is>
          <t>2026-04-30</t>
        </is>
      </c>
      <c r="B388" t="inlineStr">
        <is>
          <t>OZ-100003601</t>
        </is>
      </c>
      <c r="C388" t="inlineStr">
        <is>
          <t>ABC-LDR-034</t>
        </is>
      </c>
      <c r="D388" t="n">
        <v>49</v>
      </c>
      <c r="E388" t="n">
        <v>720</v>
      </c>
      <c r="F388" t="inlineStr">
        <is>
          <t>Wallet</t>
        </is>
      </c>
      <c r="G388" t="inlineStr">
        <is>
          <t>N</t>
        </is>
      </c>
    </row>
    <row r="389">
      <c r="A389" t="inlineStr">
        <is>
          <t>2026-04-30</t>
        </is>
      </c>
      <c r="B389" t="inlineStr">
        <is>
          <t>OZ-100003635</t>
        </is>
      </c>
      <c r="C389" t="inlineStr">
        <is>
          <t>ABC-LDR-034</t>
        </is>
      </c>
      <c r="D389" t="n">
        <v>118</v>
      </c>
      <c r="E389" t="n">
        <v>720</v>
      </c>
      <c r="F389" t="inlineStr">
        <is>
          <t>Карта</t>
        </is>
      </c>
      <c r="G389" t="inlineStr">
        <is>
          <t>N</t>
        </is>
      </c>
    </row>
    <row r="390">
      <c r="A390" t="inlineStr">
        <is>
          <t>2026-04-30</t>
        </is>
      </c>
      <c r="B390" t="inlineStr">
        <is>
          <t>OZ-100003729</t>
        </is>
      </c>
      <c r="C390" t="inlineStr">
        <is>
          <t>ABC-LDR-034</t>
        </is>
      </c>
      <c r="D390" t="n">
        <v>-56</v>
      </c>
      <c r="E390" t="n">
        <v>720</v>
      </c>
      <c r="F390" t="inlineStr">
        <is>
          <t>Wallet</t>
        </is>
      </c>
      <c r="G390" t="inlineStr">
        <is>
          <t>Y</t>
        </is>
      </c>
    </row>
    <row r="391">
      <c r="A391" t="inlineStr">
        <is>
          <t>2026-04-30</t>
        </is>
      </c>
      <c r="B391" t="inlineStr">
        <is>
          <t>OZ-100003796</t>
        </is>
      </c>
      <c r="C391" t="inlineStr">
        <is>
          <t>ABC-LDR-034</t>
        </is>
      </c>
      <c r="D391" t="n">
        <v>-56</v>
      </c>
      <c r="E391" t="n">
        <v>720</v>
      </c>
      <c r="F391" t="inlineStr">
        <is>
          <t>Ozon Pay</t>
        </is>
      </c>
      <c r="G391" t="inlineStr">
        <is>
          <t>Y</t>
        </is>
      </c>
    </row>
    <row r="392">
      <c r="A392" t="inlineStr">
        <is>
          <t>2026-04-30</t>
        </is>
      </c>
      <c r="B392" t="inlineStr">
        <is>
          <t>OZ-100003812</t>
        </is>
      </c>
      <c r="C392" t="inlineStr">
        <is>
          <t>ABC-LDR-034</t>
        </is>
      </c>
      <c r="D392" t="n">
        <v>-56</v>
      </c>
      <c r="E392" t="n">
        <v>720</v>
      </c>
      <c r="F392" t="inlineStr">
        <is>
          <t>Карта</t>
        </is>
      </c>
      <c r="G392" t="inlineStr">
        <is>
          <t>Y</t>
        </is>
      </c>
    </row>
    <row r="393">
      <c r="A393" t="inlineStr">
        <is>
          <t>2026-04-30</t>
        </is>
      </c>
      <c r="B393" t="inlineStr">
        <is>
          <t>OZ-100005752</t>
        </is>
      </c>
      <c r="C393" t="inlineStr">
        <is>
          <t>ABC-LDR-027</t>
        </is>
      </c>
      <c r="D393" t="n">
        <v>265</v>
      </c>
      <c r="E393" t="n">
        <v>290</v>
      </c>
      <c r="F393" t="inlineStr">
        <is>
          <t>Wallet</t>
        </is>
      </c>
      <c r="G393" t="inlineStr">
        <is>
          <t>N</t>
        </is>
      </c>
    </row>
    <row r="394">
      <c r="A394" t="inlineStr">
        <is>
          <t>2026-04-30</t>
        </is>
      </c>
      <c r="B394" t="inlineStr">
        <is>
          <t>OZ-100005857</t>
        </is>
      </c>
      <c r="C394" t="inlineStr">
        <is>
          <t>ABC-LDR-027</t>
        </is>
      </c>
      <c r="D394" t="n">
        <v>-53</v>
      </c>
      <c r="E394" t="n">
        <v>290</v>
      </c>
      <c r="F394" t="inlineStr">
        <is>
          <t>Ozon Pay</t>
        </is>
      </c>
      <c r="G394" t="inlineStr">
        <is>
          <t>Y</t>
        </is>
      </c>
    </row>
    <row r="395">
      <c r="A395" t="inlineStr">
        <is>
          <t>2026-04-30</t>
        </is>
      </c>
      <c r="B395" t="inlineStr">
        <is>
          <t>OZ-100005921</t>
        </is>
      </c>
      <c r="C395" t="inlineStr">
        <is>
          <t>ABC-LDR-027</t>
        </is>
      </c>
      <c r="D395" t="n">
        <v>-53</v>
      </c>
      <c r="E395" t="n">
        <v>290</v>
      </c>
      <c r="F395" t="inlineStr">
        <is>
          <t>Wallet</t>
        </is>
      </c>
      <c r="G395" t="inlineStr">
        <is>
          <t>Y</t>
        </is>
      </c>
    </row>
    <row r="396">
      <c r="A396" t="inlineStr">
        <is>
          <t>2026-04-30</t>
        </is>
      </c>
      <c r="B396" t="inlineStr">
        <is>
          <t>OZ-100007529</t>
        </is>
      </c>
      <c r="C396" t="inlineStr">
        <is>
          <t>ABC-DSH-018</t>
        </is>
      </c>
      <c r="D396" t="n">
        <v>455</v>
      </c>
      <c r="E396" t="n">
        <v>240</v>
      </c>
      <c r="F396" t="inlineStr">
        <is>
          <t>Wallet</t>
        </is>
      </c>
      <c r="G396" t="inlineStr">
        <is>
          <t>N</t>
        </is>
      </c>
    </row>
    <row r="397">
      <c r="A397" t="inlineStr">
        <is>
          <t>2026-04-30</t>
        </is>
      </c>
      <c r="B397" t="inlineStr">
        <is>
          <t>OZ-100009600</t>
        </is>
      </c>
      <c r="C397" t="inlineStr">
        <is>
          <t>ABC-KIT-051</t>
        </is>
      </c>
      <c r="D397" t="n">
        <v>32</v>
      </c>
      <c r="E397" t="n">
        <v>350</v>
      </c>
      <c r="F397" t="inlineStr">
        <is>
          <t>Ozon Pay</t>
        </is>
      </c>
      <c r="G397" t="inlineStr">
        <is>
          <t>N</t>
        </is>
      </c>
    </row>
    <row r="398">
      <c r="A398" t="inlineStr">
        <is>
          <t>2026-04-30</t>
        </is>
      </c>
      <c r="B398" t="inlineStr">
        <is>
          <t>OZ-100009639</t>
        </is>
      </c>
      <c r="C398" t="inlineStr">
        <is>
          <t>ABC-KIT-051</t>
        </is>
      </c>
      <c r="D398" t="n">
        <v>53</v>
      </c>
      <c r="E398" t="n">
        <v>350</v>
      </c>
      <c r="F398" t="inlineStr">
        <is>
          <t>Wallet</t>
        </is>
      </c>
      <c r="G398" t="inlineStr">
        <is>
          <t>N</t>
        </is>
      </c>
    </row>
    <row r="399">
      <c r="A399" t="inlineStr">
        <is>
          <t>2026-04-30</t>
        </is>
      </c>
      <c r="B399" t="inlineStr">
        <is>
          <t>OZ-100009673</t>
        </is>
      </c>
      <c r="C399" t="inlineStr">
        <is>
          <t>ABC-KIT-051</t>
        </is>
      </c>
      <c r="D399" t="n">
        <v>127</v>
      </c>
      <c r="E399" t="n">
        <v>350</v>
      </c>
      <c r="F399" t="inlineStr">
        <is>
          <t>Карта</t>
        </is>
      </c>
      <c r="G399" t="inlineStr">
        <is>
          <t>N</t>
        </is>
      </c>
    </row>
    <row r="400">
      <c r="A400" t="inlineStr">
        <is>
          <t>2026-04-30</t>
        </is>
      </c>
      <c r="B400" t="inlineStr">
        <is>
          <t>OZ-100011638</t>
        </is>
      </c>
      <c r="C400" t="inlineStr">
        <is>
          <t>ABC-WND-009</t>
        </is>
      </c>
      <c r="D400" t="n">
        <v>289</v>
      </c>
      <c r="E400" t="n">
        <v>220</v>
      </c>
      <c r="F400" t="inlineStr">
        <is>
          <t>Карта</t>
        </is>
      </c>
      <c r="G400" t="inlineStr">
        <is>
          <t>N</t>
        </is>
      </c>
    </row>
    <row r="401">
      <c r="A401" t="inlineStr">
        <is>
          <t>2026-04-30</t>
        </is>
      </c>
      <c r="B401" t="inlineStr">
        <is>
          <t>OZ-100011728</t>
        </is>
      </c>
      <c r="C401" t="inlineStr">
        <is>
          <t>ABC-WND-009</t>
        </is>
      </c>
      <c r="D401" t="n">
        <v>-97</v>
      </c>
      <c r="E401" t="n">
        <v>220</v>
      </c>
      <c r="F401" t="inlineStr">
        <is>
          <t>Карта</t>
        </is>
      </c>
      <c r="G401" t="inlineStr">
        <is>
          <t>Y</t>
        </is>
      </c>
    </row>
    <row r="402">
      <c r="A402" t="inlineStr">
        <is>
          <t>2026-04-30</t>
        </is>
      </c>
      <c r="B402" t="inlineStr">
        <is>
          <t>OZ-100011817</t>
        </is>
      </c>
      <c r="C402" t="inlineStr">
        <is>
          <t>ABC-WND-009</t>
        </is>
      </c>
      <c r="D402" t="n">
        <v>-97</v>
      </c>
      <c r="E402" t="n">
        <v>220</v>
      </c>
      <c r="F402" t="inlineStr">
        <is>
          <t>Wallet</t>
        </is>
      </c>
      <c r="G402" t="inlineStr">
        <is>
          <t>Y</t>
        </is>
      </c>
    </row>
    <row r="403">
      <c r="A403" t="inlineStr">
        <is>
          <t>2026-04-30</t>
        </is>
      </c>
      <c r="B403" t="inlineStr">
        <is>
          <t>OZ-100011861</t>
        </is>
      </c>
      <c r="C403" t="inlineStr">
        <is>
          <t>ABC-WND-009</t>
        </is>
      </c>
      <c r="D403" t="n">
        <v>-97</v>
      </c>
      <c r="E403" t="n">
        <v>176</v>
      </c>
      <c r="F403" t="inlineStr">
        <is>
          <t>Карта</t>
        </is>
      </c>
      <c r="G403" t="inlineStr">
        <is>
          <t>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30" customWidth="1" min="4" max="4"/>
    <col width="16" customWidth="1" min="5" max="5"/>
    <col width="20" customWidth="1" min="6" max="6"/>
    <col width="16" customWidth="1" min="7" max="7"/>
    <col width="16" customWidth="1" min="8" max="8"/>
  </cols>
  <sheetData>
    <row r="1">
      <c r="A1" s="1" t="inlineStr">
        <is>
          <t>Дата</t>
        </is>
      </c>
      <c r="B1" s="1" t="inlineStr">
        <is>
          <t>Order ID</t>
        </is>
      </c>
      <c r="C1" s="1" t="inlineStr">
        <is>
          <t>Артикул</t>
        </is>
      </c>
      <c r="D1" s="1" t="inlineStr">
        <is>
          <t>Наименование</t>
        </is>
      </c>
      <c r="E1" s="1" t="inlineStr">
        <is>
          <t>Кол-во, шт</t>
        </is>
      </c>
      <c r="F1" s="1" t="inlineStr">
        <is>
          <t>Цена реализации, ₽</t>
        </is>
      </c>
      <c r="G1" s="1" t="inlineStr">
        <is>
          <t>Тип оплаты</t>
        </is>
      </c>
      <c r="H1" s="1" t="inlineStr">
        <is>
          <t>Refund</t>
        </is>
      </c>
    </row>
    <row r="2">
      <c r="A2" t="inlineStr">
        <is>
          <t>2026-04-01</t>
        </is>
      </c>
      <c r="B2" t="inlineStr">
        <is>
          <t>WB-200000029</t>
        </is>
      </c>
      <c r="C2" t="inlineStr">
        <is>
          <t>ABC-CLN-042</t>
        </is>
      </c>
      <c r="D2" t="inlineStr">
        <is>
          <t>Средство для пола 1л</t>
        </is>
      </c>
      <c r="E2" t="n">
        <v>214</v>
      </c>
      <c r="F2" t="n">
        <v>380</v>
      </c>
      <c r="G2" t="inlineStr">
        <is>
          <t>Wallet</t>
        </is>
      </c>
      <c r="H2" t="inlineStr">
        <is>
          <t>N</t>
        </is>
      </c>
    </row>
    <row r="3">
      <c r="A3" t="inlineStr">
        <is>
          <t>2026-04-01</t>
        </is>
      </c>
      <c r="B3" t="inlineStr">
        <is>
          <t>WB-200000047</t>
        </is>
      </c>
      <c r="C3" t="inlineStr">
        <is>
          <t>ABC-CLN-042</t>
        </is>
      </c>
      <c r="D3" t="inlineStr">
        <is>
          <t>Средство для пола 1л</t>
        </is>
      </c>
      <c r="E3" t="n">
        <v>129</v>
      </c>
      <c r="F3" t="n">
        <v>380</v>
      </c>
      <c r="G3" t="inlineStr">
        <is>
          <t>Ozon Pay</t>
        </is>
      </c>
      <c r="H3" t="inlineStr">
        <is>
          <t>N</t>
        </is>
      </c>
    </row>
    <row r="4">
      <c r="A4" t="inlineStr">
        <is>
          <t>2026-04-01</t>
        </is>
      </c>
      <c r="B4" t="inlineStr">
        <is>
          <t>WB-200001504</t>
        </is>
      </c>
      <c r="C4" t="inlineStr">
        <is>
          <t>ABC-LDR-034</t>
        </is>
      </c>
      <c r="D4" t="inlineStr">
        <is>
          <t>Детский гель для стирки 1.5л</t>
        </is>
      </c>
      <c r="E4" t="n">
        <v>128</v>
      </c>
      <c r="F4" t="n">
        <v>720</v>
      </c>
      <c r="G4" t="inlineStr">
        <is>
          <t>Ozon Pay</t>
        </is>
      </c>
      <c r="H4" t="inlineStr">
        <is>
          <t>N</t>
        </is>
      </c>
    </row>
    <row r="5">
      <c r="A5" t="inlineStr">
        <is>
          <t>2026-04-01</t>
        </is>
      </c>
      <c r="B5" t="inlineStr">
        <is>
          <t>WB-200002920</t>
        </is>
      </c>
      <c r="C5" t="inlineStr">
        <is>
          <t>ABC-LDR-027</t>
        </is>
      </c>
      <c r="D5" t="inlineStr">
        <is>
          <t>Кондиционер для белья 1л</t>
        </is>
      </c>
      <c r="E5" t="n">
        <v>164</v>
      </c>
      <c r="F5" t="n">
        <v>290</v>
      </c>
      <c r="G5" t="inlineStr">
        <is>
          <t>Wallet</t>
        </is>
      </c>
      <c r="H5" t="inlineStr">
        <is>
          <t>N</t>
        </is>
      </c>
    </row>
    <row r="6">
      <c r="A6" t="inlineStr">
        <is>
          <t>2026-04-01</t>
        </is>
      </c>
      <c r="B6" t="inlineStr">
        <is>
          <t>WB-200004453</t>
        </is>
      </c>
      <c r="C6" t="inlineStr">
        <is>
          <t>ABC-DSH-018</t>
        </is>
      </c>
      <c r="D6" t="inlineStr">
        <is>
          <t>Средство для посуды 500мл</t>
        </is>
      </c>
      <c r="E6" t="n">
        <v>263</v>
      </c>
      <c r="F6" t="n">
        <v>240</v>
      </c>
      <c r="G6" t="inlineStr">
        <is>
          <t>Ozon Pay</t>
        </is>
      </c>
      <c r="H6" t="inlineStr">
        <is>
          <t>N</t>
        </is>
      </c>
    </row>
    <row r="7">
      <c r="A7" t="inlineStr">
        <is>
          <t>2026-04-01</t>
        </is>
      </c>
      <c r="B7" t="inlineStr">
        <is>
          <t>WB-200006128</t>
        </is>
      </c>
      <c r="D7" t="inlineStr">
        <is>
          <t>Чистящий крем кухня 750 мл</t>
        </is>
      </c>
      <c r="E7" t="n">
        <v>145</v>
      </c>
      <c r="F7" t="n">
        <v>350</v>
      </c>
      <c r="G7" t="inlineStr">
        <is>
          <t>Ozon Pay</t>
        </is>
      </c>
      <c r="H7" t="inlineStr">
        <is>
          <t>N</t>
        </is>
      </c>
    </row>
    <row r="8">
      <c r="A8" t="inlineStr">
        <is>
          <t>2026-04-01</t>
        </is>
      </c>
      <c r="B8" t="inlineStr">
        <is>
          <t>WB-200007619</t>
        </is>
      </c>
      <c r="C8" t="inlineStr">
        <is>
          <t>WND-009</t>
        </is>
      </c>
      <c r="D8" t="inlineStr">
        <is>
          <t>Очиститель стёкол 500мл</t>
        </is>
      </c>
      <c r="E8" t="n">
        <v>194</v>
      </c>
      <c r="F8" t="n">
        <v>220</v>
      </c>
      <c r="G8" t="inlineStr">
        <is>
          <t>Карта</t>
        </is>
      </c>
      <c r="H8" t="inlineStr">
        <is>
          <t>N</t>
        </is>
      </c>
    </row>
    <row r="9">
      <c r="A9" t="inlineStr">
        <is>
          <t>2026-04-02</t>
        </is>
      </c>
      <c r="B9" t="inlineStr">
        <is>
          <t>WB-200000064</t>
        </is>
      </c>
      <c r="C9" t="inlineStr">
        <is>
          <t>ABC-CLN-042</t>
        </is>
      </c>
      <c r="D9" t="inlineStr">
        <is>
          <t>Средство для пола 1л</t>
        </is>
      </c>
      <c r="E9" t="n">
        <v>101</v>
      </c>
      <c r="F9" t="n">
        <v>380</v>
      </c>
      <c r="G9" t="inlineStr">
        <is>
          <t>Wallet</t>
        </is>
      </c>
      <c r="H9" t="inlineStr">
        <is>
          <t>N</t>
        </is>
      </c>
    </row>
    <row r="10">
      <c r="A10" t="inlineStr">
        <is>
          <t>2026-04-02</t>
        </is>
      </c>
      <c r="B10" t="inlineStr">
        <is>
          <t>WB-200000107</t>
        </is>
      </c>
      <c r="C10" t="inlineStr">
        <is>
          <t>ABC-CLN-042</t>
        </is>
      </c>
      <c r="D10" t="inlineStr">
        <is>
          <t>Средство для пола 1л</t>
        </is>
      </c>
      <c r="E10" t="n">
        <v>242</v>
      </c>
      <c r="F10" t="n">
        <v>380</v>
      </c>
      <c r="G10" t="inlineStr">
        <is>
          <t>Карта</t>
        </is>
      </c>
      <c r="H10" t="inlineStr">
        <is>
          <t>N</t>
        </is>
      </c>
    </row>
    <row r="11">
      <c r="A11" t="inlineStr">
        <is>
          <t>2026-04-02</t>
        </is>
      </c>
      <c r="B11" t="inlineStr">
        <is>
          <t>WB-200001520</t>
        </is>
      </c>
      <c r="C11" t="inlineStr">
        <is>
          <t>ABC-LDR-034</t>
        </is>
      </c>
      <c r="D11" t="inlineStr">
        <is>
          <t>Детский гель для стирки 1.5л</t>
        </is>
      </c>
      <c r="E11" t="n">
        <v>128</v>
      </c>
      <c r="F11" t="n">
        <v>720</v>
      </c>
      <c r="G11" t="inlineStr">
        <is>
          <t>Карта</t>
        </is>
      </c>
      <c r="H11" t="inlineStr">
        <is>
          <t>N</t>
        </is>
      </c>
    </row>
    <row r="12">
      <c r="A12" t="inlineStr">
        <is>
          <t>2026-04-02</t>
        </is>
      </c>
      <c r="B12" t="inlineStr">
        <is>
          <t>WB-200002967</t>
        </is>
      </c>
      <c r="C12" t="inlineStr">
        <is>
          <t>ABC-LDR-027</t>
        </is>
      </c>
      <c r="D12" t="inlineStr">
        <is>
          <t>Кондиционер для белья 1л</t>
        </is>
      </c>
      <c r="E12" t="n">
        <v>164</v>
      </c>
      <c r="F12" t="n">
        <v>290</v>
      </c>
      <c r="G12" t="inlineStr">
        <is>
          <t>Карта</t>
        </is>
      </c>
      <c r="H12" t="inlineStr">
        <is>
          <t>N</t>
        </is>
      </c>
    </row>
    <row r="13">
      <c r="A13" t="inlineStr">
        <is>
          <t>2026-04-02</t>
        </is>
      </c>
      <c r="B13" t="inlineStr">
        <is>
          <t>WB-200004474</t>
        </is>
      </c>
      <c r="C13" t="inlineStr">
        <is>
          <t>ABC-DSH-018</t>
        </is>
      </c>
      <c r="D13" t="inlineStr">
        <is>
          <t>Средство для посуды 500мл</t>
        </is>
      </c>
      <c r="E13" t="n">
        <v>395</v>
      </c>
      <c r="F13" t="n">
        <v>216</v>
      </c>
      <c r="G13" t="inlineStr">
        <is>
          <t>Wallet</t>
        </is>
      </c>
      <c r="H13" t="inlineStr">
        <is>
          <t>N</t>
        </is>
      </c>
    </row>
    <row r="14">
      <c r="A14" t="inlineStr">
        <is>
          <t>2026-04-02</t>
        </is>
      </c>
      <c r="B14" t="inlineStr">
        <is>
          <t>WB-200006154</t>
        </is>
      </c>
      <c r="D14" t="inlineStr">
        <is>
          <t>Чистящий крем кухня 750 мл</t>
        </is>
      </c>
      <c r="E14" t="n">
        <v>145</v>
      </c>
      <c r="F14" t="n">
        <v>350</v>
      </c>
      <c r="G14" t="inlineStr">
        <is>
          <t>Ozon Pay</t>
        </is>
      </c>
      <c r="H14" t="inlineStr">
        <is>
          <t>N</t>
        </is>
      </c>
    </row>
    <row r="15">
      <c r="A15" t="inlineStr">
        <is>
          <t>2026-04-02</t>
        </is>
      </c>
      <c r="B15" t="inlineStr">
        <is>
          <t>WB-200007648</t>
        </is>
      </c>
      <c r="C15" t="inlineStr">
        <is>
          <t>WND-009</t>
        </is>
      </c>
      <c r="D15" t="inlineStr">
        <is>
          <t>Очиститель стёкол 500мл</t>
        </is>
      </c>
      <c r="E15" t="n">
        <v>194</v>
      </c>
      <c r="F15" t="n">
        <v>220</v>
      </c>
      <c r="G15" t="inlineStr">
        <is>
          <t>Карта</t>
        </is>
      </c>
      <c r="H15" t="inlineStr">
        <is>
          <t>N</t>
        </is>
      </c>
    </row>
    <row r="16">
      <c r="A16" t="inlineStr">
        <is>
          <t>2026-04-03</t>
        </is>
      </c>
      <c r="B16" t="inlineStr">
        <is>
          <t>WB-200000138</t>
        </is>
      </c>
      <c r="C16" t="inlineStr">
        <is>
          <t>ABC-CLN-042</t>
        </is>
      </c>
      <c r="D16" t="inlineStr">
        <is>
          <t>Средство для пола 1л</t>
        </is>
      </c>
      <c r="E16" t="n">
        <v>343</v>
      </c>
      <c r="F16" t="n">
        <v>380</v>
      </c>
      <c r="G16" t="inlineStr">
        <is>
          <t>Карта</t>
        </is>
      </c>
      <c r="H16" t="inlineStr">
        <is>
          <t>N</t>
        </is>
      </c>
    </row>
    <row r="17">
      <c r="A17" t="inlineStr">
        <is>
          <t>2026-04-03</t>
        </is>
      </c>
      <c r="B17" t="inlineStr">
        <is>
          <t>WB-200001556</t>
        </is>
      </c>
      <c r="C17" t="inlineStr">
        <is>
          <t>ABC-LDR-034</t>
        </is>
      </c>
      <c r="D17" t="inlineStr">
        <is>
          <t>Детский гель для стирки 1.5л</t>
        </is>
      </c>
      <c r="E17" t="n">
        <v>128</v>
      </c>
      <c r="F17" t="n">
        <v>720</v>
      </c>
      <c r="G17" t="inlineStr">
        <is>
          <t>Ozon Pay</t>
        </is>
      </c>
      <c r="H17" t="inlineStr">
        <is>
          <t>N</t>
        </is>
      </c>
    </row>
    <row r="18">
      <c r="A18" t="inlineStr">
        <is>
          <t>2026-04-03</t>
        </is>
      </c>
      <c r="B18" t="inlineStr">
        <is>
          <t>WB-200003010</t>
        </is>
      </c>
      <c r="C18" t="inlineStr">
        <is>
          <t>ABC-LDR-027</t>
        </is>
      </c>
      <c r="D18" t="inlineStr">
        <is>
          <t>Кондиционер для белья 1л</t>
        </is>
      </c>
      <c r="E18" t="n">
        <v>116</v>
      </c>
      <c r="F18" t="n">
        <v>290</v>
      </c>
      <c r="G18" t="inlineStr">
        <is>
          <t>Карта</t>
        </is>
      </c>
      <c r="H18" t="inlineStr">
        <is>
          <t>N</t>
        </is>
      </c>
    </row>
    <row r="19">
      <c r="A19" t="inlineStr">
        <is>
          <t>2026-04-03</t>
        </is>
      </c>
      <c r="B19" t="inlineStr">
        <is>
          <t>WB-200003056</t>
        </is>
      </c>
      <c r="C19" t="inlineStr">
        <is>
          <t>ABC-LDR-027</t>
        </is>
      </c>
      <c r="D19" t="inlineStr">
        <is>
          <t>Кондиционер для белья 1л</t>
        </is>
      </c>
      <c r="E19" t="n">
        <v>48</v>
      </c>
      <c r="F19" t="n">
        <v>290</v>
      </c>
      <c r="G19" t="inlineStr">
        <is>
          <t>Wallet</t>
        </is>
      </c>
      <c r="H19" t="inlineStr">
        <is>
          <t>N</t>
        </is>
      </c>
    </row>
    <row r="20">
      <c r="A20" t="inlineStr">
        <is>
          <t>2026-04-03</t>
        </is>
      </c>
      <c r="B20" t="inlineStr">
        <is>
          <t>WB-200004517</t>
        </is>
      </c>
      <c r="C20" t="inlineStr">
        <is>
          <t>ABC-DSH-018</t>
        </is>
      </c>
      <c r="D20" t="inlineStr">
        <is>
          <t>Средство для посуды 500мл</t>
        </is>
      </c>
      <c r="E20" t="n">
        <v>395</v>
      </c>
      <c r="F20" t="n">
        <v>216</v>
      </c>
      <c r="G20" t="inlineStr">
        <is>
          <t>Wallet</t>
        </is>
      </c>
      <c r="H20" t="inlineStr">
        <is>
          <t>N</t>
        </is>
      </c>
    </row>
    <row r="21">
      <c r="A21" t="inlineStr">
        <is>
          <t>2026-04-03</t>
        </is>
      </c>
      <c r="B21" t="inlineStr">
        <is>
          <t>WB-200006181</t>
        </is>
      </c>
      <c r="D21" t="inlineStr">
        <is>
          <t>Чистящий крем кухня 750 мл</t>
        </is>
      </c>
      <c r="E21" t="n">
        <v>116</v>
      </c>
      <c r="F21" t="n">
        <v>350</v>
      </c>
      <c r="G21" t="inlineStr">
        <is>
          <t>Карта</t>
        </is>
      </c>
      <c r="H21" t="inlineStr">
        <is>
          <t>N</t>
        </is>
      </c>
    </row>
    <row r="22">
      <c r="A22" t="inlineStr">
        <is>
          <t>2026-04-03</t>
        </is>
      </c>
      <c r="B22" t="inlineStr">
        <is>
          <t>WB-200006222</t>
        </is>
      </c>
      <c r="D22" t="inlineStr">
        <is>
          <t>Чистящий крем кухня 750 мл</t>
        </is>
      </c>
      <c r="E22" t="n">
        <v>29</v>
      </c>
      <c r="F22" t="n">
        <v>350</v>
      </c>
      <c r="G22" t="inlineStr">
        <is>
          <t>Ozon Pay</t>
        </is>
      </c>
      <c r="H22" t="inlineStr">
        <is>
          <t>N</t>
        </is>
      </c>
    </row>
    <row r="23">
      <c r="A23" t="inlineStr">
        <is>
          <t>2026-04-03</t>
        </is>
      </c>
      <c r="B23" t="inlineStr">
        <is>
          <t>WB-200007671</t>
        </is>
      </c>
      <c r="C23" t="inlineStr">
        <is>
          <t>WND-009</t>
        </is>
      </c>
      <c r="D23" t="inlineStr">
        <is>
          <t>Очиститель стёкол 500мл</t>
        </is>
      </c>
      <c r="E23" t="n">
        <v>155</v>
      </c>
      <c r="F23" t="n">
        <v>220</v>
      </c>
      <c r="G23" t="inlineStr">
        <is>
          <t>Карта</t>
        </is>
      </c>
      <c r="H23" t="inlineStr">
        <is>
          <t>N</t>
        </is>
      </c>
    </row>
    <row r="24">
      <c r="A24" t="inlineStr">
        <is>
          <t>2026-04-03</t>
        </is>
      </c>
      <c r="B24" t="inlineStr">
        <is>
          <t>WB-200007697</t>
        </is>
      </c>
      <c r="C24" t="inlineStr">
        <is>
          <t>WND-009</t>
        </is>
      </c>
      <c r="D24" t="inlineStr">
        <is>
          <t>Очиститель стёкол 500мл</t>
        </is>
      </c>
      <c r="E24" t="n">
        <v>39</v>
      </c>
      <c r="F24" t="n">
        <v>220</v>
      </c>
      <c r="G24" t="inlineStr">
        <is>
          <t>Ozon Pay</t>
        </is>
      </c>
      <c r="H24" t="inlineStr">
        <is>
          <t>N</t>
        </is>
      </c>
    </row>
    <row r="25">
      <c r="A25" t="inlineStr">
        <is>
          <t>2026-04-04</t>
        </is>
      </c>
      <c r="B25" t="inlineStr">
        <is>
          <t>WB-200000153</t>
        </is>
      </c>
      <c r="C25" t="inlineStr">
        <is>
          <t>ABC-CLN-042</t>
        </is>
      </c>
      <c r="D25" t="inlineStr">
        <is>
          <t>Средство для пола 1л</t>
        </is>
      </c>
      <c r="E25" t="n">
        <v>343</v>
      </c>
      <c r="F25" t="n">
        <v>380</v>
      </c>
      <c r="G25" t="inlineStr">
        <is>
          <t>Wallet</t>
        </is>
      </c>
      <c r="H25" t="inlineStr">
        <is>
          <t>N</t>
        </is>
      </c>
    </row>
    <row r="26">
      <c r="A26" t="inlineStr">
        <is>
          <t>2026-04-04</t>
        </is>
      </c>
      <c r="B26" t="inlineStr">
        <is>
          <t>WB-200001602</t>
        </is>
      </c>
      <c r="C26" t="inlineStr">
        <is>
          <t>ABC-LDR-034</t>
        </is>
      </c>
      <c r="D26" t="inlineStr">
        <is>
          <t>Детский гель для стирки 1.5л</t>
        </is>
      </c>
      <c r="E26" t="n">
        <v>80</v>
      </c>
      <c r="F26" t="n">
        <v>720</v>
      </c>
      <c r="G26" t="inlineStr">
        <is>
          <t>Wallet</t>
        </is>
      </c>
      <c r="H26" t="inlineStr">
        <is>
          <t>N</t>
        </is>
      </c>
    </row>
    <row r="27">
      <c r="A27" t="inlineStr">
        <is>
          <t>2026-04-04</t>
        </is>
      </c>
      <c r="B27" t="inlineStr">
        <is>
          <t>WB-200001639</t>
        </is>
      </c>
      <c r="C27" t="inlineStr">
        <is>
          <t>ABC-LDR-034</t>
        </is>
      </c>
      <c r="D27" t="inlineStr">
        <is>
          <t>Детский гель для стирки 1.5л</t>
        </is>
      </c>
      <c r="E27" t="n">
        <v>48</v>
      </c>
      <c r="F27" t="n">
        <v>720</v>
      </c>
      <c r="G27" t="inlineStr">
        <is>
          <t>Ozon Pay</t>
        </is>
      </c>
      <c r="H27" t="inlineStr">
        <is>
          <t>N</t>
        </is>
      </c>
    </row>
    <row r="28">
      <c r="A28" t="inlineStr">
        <is>
          <t>2026-04-04</t>
        </is>
      </c>
      <c r="B28" t="inlineStr">
        <is>
          <t>WB-200003087</t>
        </is>
      </c>
      <c r="C28" t="inlineStr">
        <is>
          <t>ABC-LDR-027</t>
        </is>
      </c>
      <c r="D28" t="inlineStr">
        <is>
          <t>Кондиционер для белья 1л</t>
        </is>
      </c>
      <c r="E28" t="n">
        <v>164</v>
      </c>
      <c r="F28" t="n">
        <v>290</v>
      </c>
      <c r="G28" t="inlineStr">
        <is>
          <t>Wallet</t>
        </is>
      </c>
      <c r="H28" t="inlineStr">
        <is>
          <t>N</t>
        </is>
      </c>
    </row>
    <row r="29">
      <c r="A29" t="inlineStr">
        <is>
          <t>2026-04-04</t>
        </is>
      </c>
      <c r="B29" t="inlineStr">
        <is>
          <t>WB-200004549</t>
        </is>
      </c>
      <c r="C29" t="inlineStr">
        <is>
          <t>ABC-DSH-018</t>
        </is>
      </c>
      <c r="D29" t="inlineStr">
        <is>
          <t>Средство для посуды 500мл</t>
        </is>
      </c>
      <c r="E29" t="n">
        <v>247</v>
      </c>
      <c r="F29" t="n">
        <v>216</v>
      </c>
      <c r="G29" t="inlineStr">
        <is>
          <t>Wallet</t>
        </is>
      </c>
      <c r="H29" t="inlineStr">
        <is>
          <t>N</t>
        </is>
      </c>
    </row>
    <row r="30">
      <c r="A30" t="inlineStr">
        <is>
          <t>2026-04-04</t>
        </is>
      </c>
      <c r="B30" t="inlineStr">
        <is>
          <t>WB-200004594</t>
        </is>
      </c>
      <c r="C30" t="inlineStr">
        <is>
          <t>ABC-DSH-018</t>
        </is>
      </c>
      <c r="D30" t="inlineStr">
        <is>
          <t>Средство для посуды 500мл</t>
        </is>
      </c>
      <c r="E30" t="n">
        <v>148</v>
      </c>
      <c r="F30" t="n">
        <v>216</v>
      </c>
      <c r="G30" t="inlineStr">
        <is>
          <t>Ozon Pay</t>
        </is>
      </c>
      <c r="H30" t="inlineStr">
        <is>
          <t>N</t>
        </is>
      </c>
    </row>
    <row r="31">
      <c r="A31" t="inlineStr">
        <is>
          <t>2026-04-04</t>
        </is>
      </c>
      <c r="B31" t="inlineStr">
        <is>
          <t>WB-200006269</t>
        </is>
      </c>
      <c r="D31" t="inlineStr">
        <is>
          <t>Чистящий крем кухня 750 мл</t>
        </is>
      </c>
      <c r="E31" t="n">
        <v>145</v>
      </c>
      <c r="F31" t="n">
        <v>350</v>
      </c>
      <c r="G31" t="inlineStr">
        <is>
          <t>Карта</t>
        </is>
      </c>
      <c r="H31" t="inlineStr">
        <is>
          <t>N</t>
        </is>
      </c>
    </row>
    <row r="32">
      <c r="A32" t="inlineStr">
        <is>
          <t>2026-04-04</t>
        </is>
      </c>
      <c r="B32" t="inlineStr">
        <is>
          <t>WB-200007743</t>
        </is>
      </c>
      <c r="C32" t="inlineStr">
        <is>
          <t>WND-009</t>
        </is>
      </c>
      <c r="D32" t="inlineStr">
        <is>
          <t>Очиститель стёкол 500мл</t>
        </is>
      </c>
      <c r="E32" t="n">
        <v>194</v>
      </c>
      <c r="F32" t="n">
        <v>220</v>
      </c>
      <c r="G32" t="inlineStr">
        <is>
          <t>Карта</t>
        </is>
      </c>
      <c r="H32" t="inlineStr">
        <is>
          <t>N</t>
        </is>
      </c>
    </row>
    <row r="33">
      <c r="A33" t="inlineStr">
        <is>
          <t>2026-04-05</t>
        </is>
      </c>
      <c r="B33" t="inlineStr">
        <is>
          <t>WB-200000183</t>
        </is>
      </c>
      <c r="C33" t="inlineStr">
        <is>
          <t>ABC-CLN-042</t>
        </is>
      </c>
      <c r="D33" t="inlineStr">
        <is>
          <t>Средство для пола 1л</t>
        </is>
      </c>
      <c r="E33" t="n">
        <v>343</v>
      </c>
      <c r="F33" t="n">
        <v>380</v>
      </c>
      <c r="G33" t="inlineStr">
        <is>
          <t>Карта</t>
        </is>
      </c>
      <c r="H33" t="inlineStr">
        <is>
          <t>N</t>
        </is>
      </c>
    </row>
    <row r="34">
      <c r="A34" t="inlineStr">
        <is>
          <t>2026-04-05</t>
        </is>
      </c>
      <c r="B34" t="inlineStr">
        <is>
          <t>WB-200001677</t>
        </is>
      </c>
      <c r="C34" t="inlineStr">
        <is>
          <t>ABC-LDR-034</t>
        </is>
      </c>
      <c r="D34" t="inlineStr">
        <is>
          <t>Детский гель для стирки 1.5л</t>
        </is>
      </c>
      <c r="E34" t="n">
        <v>128</v>
      </c>
      <c r="F34" t="n">
        <v>720</v>
      </c>
      <c r="G34" t="inlineStr">
        <is>
          <t>Ozon Pay</t>
        </is>
      </c>
      <c r="H34" t="inlineStr">
        <is>
          <t>N</t>
        </is>
      </c>
    </row>
    <row r="35">
      <c r="A35" t="inlineStr">
        <is>
          <t>2026-04-05</t>
        </is>
      </c>
      <c r="B35" t="inlineStr">
        <is>
          <t>WB-200003110</t>
        </is>
      </c>
      <c r="C35" t="inlineStr">
        <is>
          <t>ABC-LDR-027</t>
        </is>
      </c>
      <c r="D35" t="inlineStr">
        <is>
          <t>Кондиционер для белья 1л</t>
        </is>
      </c>
      <c r="E35" t="n">
        <v>131</v>
      </c>
      <c r="F35" t="n">
        <v>290</v>
      </c>
      <c r="G35" t="inlineStr">
        <is>
          <t>Карта</t>
        </is>
      </c>
      <c r="H35" t="inlineStr">
        <is>
          <t>N</t>
        </is>
      </c>
    </row>
    <row r="36">
      <c r="A36" t="inlineStr">
        <is>
          <t>2026-04-05</t>
        </is>
      </c>
      <c r="B36" t="inlineStr">
        <is>
          <t>WB-200003129</t>
        </is>
      </c>
      <c r="C36" t="inlineStr">
        <is>
          <t>ABC-LDR-027</t>
        </is>
      </c>
      <c r="D36" t="inlineStr">
        <is>
          <t>Кондиционер для белья 1л</t>
        </is>
      </c>
      <c r="E36" t="n">
        <v>33</v>
      </c>
      <c r="F36" t="n">
        <v>290</v>
      </c>
      <c r="G36" t="inlineStr">
        <is>
          <t>Ozon Pay</t>
        </is>
      </c>
      <c r="H36" t="inlineStr">
        <is>
          <t>N</t>
        </is>
      </c>
    </row>
    <row r="37">
      <c r="A37" t="inlineStr">
        <is>
          <t>2026-04-05</t>
        </is>
      </c>
      <c r="B37" t="inlineStr">
        <is>
          <t>WB-200004631</t>
        </is>
      </c>
      <c r="C37" t="inlineStr">
        <is>
          <t>ABC-DSH-018</t>
        </is>
      </c>
      <c r="D37" t="inlineStr">
        <is>
          <t>Средство для посуды 500мл</t>
        </is>
      </c>
      <c r="E37" t="n">
        <v>116</v>
      </c>
      <c r="F37" t="n">
        <v>216</v>
      </c>
      <c r="G37" t="inlineStr">
        <is>
          <t>Wallet</t>
        </is>
      </c>
      <c r="H37" t="inlineStr">
        <is>
          <t>N</t>
        </is>
      </c>
    </row>
    <row r="38">
      <c r="A38" t="inlineStr">
        <is>
          <t>2026-04-05</t>
        </is>
      </c>
      <c r="B38" t="inlineStr">
        <is>
          <t>WB-200004660</t>
        </is>
      </c>
      <c r="C38" t="inlineStr">
        <is>
          <t>ABC-DSH-018</t>
        </is>
      </c>
      <c r="D38" t="inlineStr">
        <is>
          <t>Средство для посуды 500мл</t>
        </is>
      </c>
      <c r="E38" t="n">
        <v>279</v>
      </c>
      <c r="F38" t="n">
        <v>216</v>
      </c>
      <c r="G38" t="inlineStr">
        <is>
          <t>Карта</t>
        </is>
      </c>
      <c r="H38" t="inlineStr">
        <is>
          <t>N</t>
        </is>
      </c>
    </row>
    <row r="39">
      <c r="A39" t="inlineStr">
        <is>
          <t>2026-04-05</t>
        </is>
      </c>
      <c r="B39" t="inlineStr">
        <is>
          <t>WB-200006302</t>
        </is>
      </c>
      <c r="D39" t="inlineStr">
        <is>
          <t>Чистящий крем кухня 750 мл</t>
        </is>
      </c>
      <c r="E39" t="n">
        <v>145</v>
      </c>
      <c r="F39" t="n">
        <v>350</v>
      </c>
      <c r="G39" t="inlineStr">
        <is>
          <t>Карта</t>
        </is>
      </c>
      <c r="H39" t="inlineStr">
        <is>
          <t>N</t>
        </is>
      </c>
    </row>
    <row r="40">
      <c r="A40" t="inlineStr">
        <is>
          <t>2026-04-05</t>
        </is>
      </c>
      <c r="B40" t="inlineStr">
        <is>
          <t>WB-200007769</t>
        </is>
      </c>
      <c r="C40" t="inlineStr">
        <is>
          <t>WND-009</t>
        </is>
      </c>
      <c r="D40" t="inlineStr">
        <is>
          <t>Очиститель стёкол 500мл</t>
        </is>
      </c>
      <c r="E40" t="n">
        <v>155</v>
      </c>
      <c r="F40" t="n">
        <v>220</v>
      </c>
      <c r="G40" t="inlineStr">
        <is>
          <t>Карта</t>
        </is>
      </c>
      <c r="H40" t="inlineStr">
        <is>
          <t>N</t>
        </is>
      </c>
    </row>
    <row r="41">
      <c r="A41" t="inlineStr">
        <is>
          <t>2026-04-05</t>
        </is>
      </c>
      <c r="B41" t="inlineStr">
        <is>
          <t>WB-200007797</t>
        </is>
      </c>
      <c r="C41" t="inlineStr">
        <is>
          <t>WND-009</t>
        </is>
      </c>
      <c r="D41" t="inlineStr">
        <is>
          <t>Очиститель стёкол 500мл</t>
        </is>
      </c>
      <c r="E41" t="n">
        <v>39</v>
      </c>
      <c r="F41" t="n">
        <v>220</v>
      </c>
      <c r="G41" t="inlineStr">
        <is>
          <t>Ozon Pay</t>
        </is>
      </c>
      <c r="H41" t="inlineStr">
        <is>
          <t>N</t>
        </is>
      </c>
    </row>
    <row r="42">
      <c r="A42" t="inlineStr">
        <is>
          <t>2026-04-06</t>
        </is>
      </c>
      <c r="B42" t="inlineStr">
        <is>
          <t>WB-200000223</t>
        </is>
      </c>
      <c r="C42" t="inlineStr">
        <is>
          <t>ABC-CLN-042</t>
        </is>
      </c>
      <c r="D42" t="inlineStr">
        <is>
          <t>Средство для пола 1л</t>
        </is>
      </c>
      <c r="E42" t="n">
        <v>514</v>
      </c>
      <c r="F42" t="n">
        <v>334</v>
      </c>
      <c r="G42" t="inlineStr">
        <is>
          <t>Карта</t>
        </is>
      </c>
      <c r="H42" t="inlineStr">
        <is>
          <t>N</t>
        </is>
      </c>
    </row>
    <row r="43">
      <c r="A43" t="inlineStr">
        <is>
          <t>2026-04-06</t>
        </is>
      </c>
      <c r="B43" t="inlineStr">
        <is>
          <t>WB-200001692</t>
        </is>
      </c>
      <c r="C43" t="inlineStr">
        <is>
          <t>ABC-LDR-034</t>
        </is>
      </c>
      <c r="D43" t="inlineStr">
        <is>
          <t>Детский гель для стирки 1.5л</t>
        </is>
      </c>
      <c r="E43" t="n">
        <v>48</v>
      </c>
      <c r="F43" t="n">
        <v>720</v>
      </c>
      <c r="G43" t="inlineStr">
        <is>
          <t>Ozon Pay</t>
        </is>
      </c>
      <c r="H43" t="inlineStr">
        <is>
          <t>N</t>
        </is>
      </c>
    </row>
    <row r="44">
      <c r="A44" t="inlineStr">
        <is>
          <t>2026-04-06</t>
        </is>
      </c>
      <c r="B44" t="inlineStr">
        <is>
          <t>WB-200001729</t>
        </is>
      </c>
      <c r="C44" t="inlineStr">
        <is>
          <t>ABC-LDR-034</t>
        </is>
      </c>
      <c r="D44" t="inlineStr">
        <is>
          <t>Детский гель для стирки 1.5л</t>
        </is>
      </c>
      <c r="E44" t="n">
        <v>80</v>
      </c>
      <c r="F44" t="n">
        <v>720</v>
      </c>
      <c r="G44" t="inlineStr">
        <is>
          <t>Wallet</t>
        </is>
      </c>
      <c r="H44" t="inlineStr">
        <is>
          <t>N</t>
        </is>
      </c>
    </row>
    <row r="45">
      <c r="A45" t="inlineStr">
        <is>
          <t>2026-04-06</t>
        </is>
      </c>
      <c r="B45" t="inlineStr">
        <is>
          <t>WB-200003160</t>
        </is>
      </c>
      <c r="C45" t="inlineStr">
        <is>
          <t>ABC-LDR-027</t>
        </is>
      </c>
      <c r="D45" t="inlineStr">
        <is>
          <t>Кондиционер для белья 1л</t>
        </is>
      </c>
      <c r="E45" t="n">
        <v>103</v>
      </c>
      <c r="F45" t="n">
        <v>290</v>
      </c>
      <c r="G45" t="inlineStr">
        <is>
          <t>Wallet</t>
        </is>
      </c>
      <c r="H45" t="inlineStr">
        <is>
          <t>N</t>
        </is>
      </c>
    </row>
    <row r="46">
      <c r="A46" t="inlineStr">
        <is>
          <t>2026-04-06</t>
        </is>
      </c>
      <c r="B46" t="inlineStr">
        <is>
          <t>WB-200003179</t>
        </is>
      </c>
      <c r="C46" t="inlineStr">
        <is>
          <t>ABC-LDR-027</t>
        </is>
      </c>
      <c r="D46" t="inlineStr">
        <is>
          <t>Кондиционер для белья 1л</t>
        </is>
      </c>
      <c r="E46" t="n">
        <v>61</v>
      </c>
      <c r="F46" t="n">
        <v>290</v>
      </c>
      <c r="G46" t="inlineStr">
        <is>
          <t>Ozon Pay</t>
        </is>
      </c>
      <c r="H46" t="inlineStr">
        <is>
          <t>N</t>
        </is>
      </c>
    </row>
    <row r="47">
      <c r="A47" t="inlineStr">
        <is>
          <t>2026-04-06</t>
        </is>
      </c>
      <c r="B47" t="inlineStr">
        <is>
          <t>WB-200004707</t>
        </is>
      </c>
      <c r="C47" t="inlineStr">
        <is>
          <t>ABC-DSH-018</t>
        </is>
      </c>
      <c r="D47" t="inlineStr">
        <is>
          <t>Средство для посуды 500мл</t>
        </is>
      </c>
      <c r="E47" t="n">
        <v>395</v>
      </c>
      <c r="F47" t="n">
        <v>216</v>
      </c>
      <c r="G47" t="inlineStr">
        <is>
          <t>Wallet</t>
        </is>
      </c>
      <c r="H47" t="inlineStr">
        <is>
          <t>N</t>
        </is>
      </c>
    </row>
    <row r="48">
      <c r="A48" t="inlineStr">
        <is>
          <t>2026-04-06</t>
        </is>
      </c>
      <c r="B48" t="inlineStr">
        <is>
          <t>WB-200006323</t>
        </is>
      </c>
      <c r="D48" t="inlineStr">
        <is>
          <t>Чистящий крем кухня 750 мл</t>
        </is>
      </c>
      <c r="E48" t="n">
        <v>29</v>
      </c>
      <c r="F48" t="n">
        <v>350</v>
      </c>
      <c r="G48" t="inlineStr">
        <is>
          <t>Ozon Pay</t>
        </is>
      </c>
      <c r="H48" t="inlineStr">
        <is>
          <t>N</t>
        </is>
      </c>
    </row>
    <row r="49">
      <c r="A49" t="inlineStr">
        <is>
          <t>2026-04-06</t>
        </is>
      </c>
      <c r="B49" t="inlineStr">
        <is>
          <t>WB-200006351</t>
        </is>
      </c>
      <c r="D49" t="inlineStr">
        <is>
          <t>Чистящий крем кухня 750 мл</t>
        </is>
      </c>
      <c r="E49" t="n">
        <v>116</v>
      </c>
      <c r="F49" t="n">
        <v>350</v>
      </c>
      <c r="G49" t="inlineStr">
        <is>
          <t>Карта</t>
        </is>
      </c>
      <c r="H49" t="inlineStr">
        <is>
          <t>N</t>
        </is>
      </c>
    </row>
    <row r="50">
      <c r="A50" t="inlineStr">
        <is>
          <t>2026-04-06</t>
        </is>
      </c>
      <c r="B50" t="inlineStr">
        <is>
          <t>WB-200007825</t>
        </is>
      </c>
      <c r="C50" t="inlineStr">
        <is>
          <t>WND-009</t>
        </is>
      </c>
      <c r="D50" t="inlineStr">
        <is>
          <t>Очиститель стёкол 500мл</t>
        </is>
      </c>
      <c r="E50" t="n">
        <v>194</v>
      </c>
      <c r="F50" t="n">
        <v>220</v>
      </c>
      <c r="G50" t="inlineStr">
        <is>
          <t>Карта</t>
        </is>
      </c>
      <c r="H50" t="inlineStr">
        <is>
          <t>N</t>
        </is>
      </c>
    </row>
    <row r="51">
      <c r="A51" t="inlineStr">
        <is>
          <t>2026-04-07</t>
        </is>
      </c>
      <c r="B51" t="inlineStr">
        <is>
          <t>WB-200000262</t>
        </is>
      </c>
      <c r="C51" t="inlineStr">
        <is>
          <t>ABC-CLN-042</t>
        </is>
      </c>
      <c r="D51" t="inlineStr">
        <is>
          <t>Средство для пола 1л</t>
        </is>
      </c>
      <c r="E51" t="n">
        <v>514</v>
      </c>
      <c r="F51" t="n">
        <v>334</v>
      </c>
      <c r="G51" t="inlineStr">
        <is>
          <t>Ozon Pay</t>
        </is>
      </c>
      <c r="H51" t="inlineStr">
        <is>
          <t>N</t>
        </is>
      </c>
    </row>
    <row r="52">
      <c r="A52" t="inlineStr">
        <is>
          <t>2026-04-07</t>
        </is>
      </c>
      <c r="B52" t="inlineStr">
        <is>
          <t>WB-200001745</t>
        </is>
      </c>
      <c r="C52" t="inlineStr">
        <is>
          <t>ABC-LDR-034</t>
        </is>
      </c>
      <c r="D52" t="inlineStr">
        <is>
          <t>Детский гель для стирки 1.5л</t>
        </is>
      </c>
      <c r="E52" t="n">
        <v>128</v>
      </c>
      <c r="F52" t="n">
        <v>720</v>
      </c>
      <c r="G52" t="inlineStr">
        <is>
          <t>Wallet</t>
        </is>
      </c>
      <c r="H52" t="inlineStr">
        <is>
          <t>N</t>
        </is>
      </c>
    </row>
    <row r="53">
      <c r="A53" t="inlineStr">
        <is>
          <t>2026-04-07</t>
        </is>
      </c>
      <c r="B53" t="inlineStr">
        <is>
          <t>WB-200003215</t>
        </is>
      </c>
      <c r="C53" t="inlineStr">
        <is>
          <t>ABC-LDR-027</t>
        </is>
      </c>
      <c r="D53" t="inlineStr">
        <is>
          <t>Кондиционер для белья 1л</t>
        </is>
      </c>
      <c r="E53" t="n">
        <v>164</v>
      </c>
      <c r="F53" t="n">
        <v>290</v>
      </c>
      <c r="G53" t="inlineStr">
        <is>
          <t>Wallet</t>
        </is>
      </c>
      <c r="H53" t="inlineStr">
        <is>
          <t>N</t>
        </is>
      </c>
    </row>
    <row r="54">
      <c r="A54" t="inlineStr">
        <is>
          <t>2026-04-07</t>
        </is>
      </c>
      <c r="B54" t="inlineStr">
        <is>
          <t>WB-200004751</t>
        </is>
      </c>
      <c r="C54" t="inlineStr">
        <is>
          <t>ABC-DSH-018</t>
        </is>
      </c>
      <c r="D54" t="inlineStr">
        <is>
          <t>Средство для посуды 500мл</t>
        </is>
      </c>
      <c r="E54" t="n">
        <v>79</v>
      </c>
      <c r="F54" t="n">
        <v>216</v>
      </c>
      <c r="G54" t="inlineStr">
        <is>
          <t>Ozon Pay</t>
        </is>
      </c>
      <c r="H54" t="inlineStr">
        <is>
          <t>N</t>
        </is>
      </c>
    </row>
    <row r="55">
      <c r="A55" t="inlineStr">
        <is>
          <t>2026-04-07</t>
        </is>
      </c>
      <c r="B55" t="inlineStr">
        <is>
          <t>WB-200004779</t>
        </is>
      </c>
      <c r="C55" t="inlineStr">
        <is>
          <t>ABC-DSH-018</t>
        </is>
      </c>
      <c r="D55" t="inlineStr">
        <is>
          <t>Средство для посуды 500мл</t>
        </is>
      </c>
      <c r="E55" t="n">
        <v>316</v>
      </c>
      <c r="F55" t="n">
        <v>216</v>
      </c>
      <c r="G55" t="inlineStr">
        <is>
          <t>Карта</t>
        </is>
      </c>
      <c r="H55" t="inlineStr">
        <is>
          <t>N</t>
        </is>
      </c>
    </row>
    <row r="56">
      <c r="A56" t="inlineStr">
        <is>
          <t>2026-04-07</t>
        </is>
      </c>
      <c r="B56" t="inlineStr">
        <is>
          <t>WB-200006375</t>
        </is>
      </c>
      <c r="D56" t="inlineStr">
        <is>
          <t>Чистящий крем кухня 750 мл</t>
        </is>
      </c>
      <c r="E56" t="n">
        <v>43</v>
      </c>
      <c r="F56" t="n">
        <v>350</v>
      </c>
      <c r="G56" t="inlineStr">
        <is>
          <t>Wallet</t>
        </is>
      </c>
      <c r="H56" t="inlineStr">
        <is>
          <t>N</t>
        </is>
      </c>
    </row>
    <row r="57">
      <c r="A57" t="inlineStr">
        <is>
          <t>2026-04-07</t>
        </is>
      </c>
      <c r="B57" t="inlineStr">
        <is>
          <t>WB-200006422</t>
        </is>
      </c>
      <c r="D57" t="inlineStr">
        <is>
          <t>Чистящий крем кухня 750 мл</t>
        </is>
      </c>
      <c r="E57" t="n">
        <v>102</v>
      </c>
      <c r="F57" t="n">
        <v>350</v>
      </c>
      <c r="G57" t="inlineStr">
        <is>
          <t>Карта</t>
        </is>
      </c>
      <c r="H57" t="inlineStr">
        <is>
          <t>N</t>
        </is>
      </c>
    </row>
    <row r="58">
      <c r="A58" t="inlineStr">
        <is>
          <t>2026-04-07</t>
        </is>
      </c>
      <c r="B58" t="inlineStr">
        <is>
          <t>WB-200007862</t>
        </is>
      </c>
      <c r="C58" t="inlineStr">
        <is>
          <t>WND-009</t>
        </is>
      </c>
      <c r="D58" t="inlineStr">
        <is>
          <t>Очиститель стёкол 500мл</t>
        </is>
      </c>
      <c r="E58" t="n">
        <v>57</v>
      </c>
      <c r="F58" t="n">
        <v>220</v>
      </c>
      <c r="G58" t="inlineStr">
        <is>
          <t>Wallet</t>
        </is>
      </c>
      <c r="H58" t="inlineStr">
        <is>
          <t>N</t>
        </is>
      </c>
    </row>
    <row r="59">
      <c r="A59" t="inlineStr">
        <is>
          <t>2026-04-07</t>
        </is>
      </c>
      <c r="B59" t="inlineStr">
        <is>
          <t>WB-200007882</t>
        </is>
      </c>
      <c r="C59" t="inlineStr">
        <is>
          <t>WND-009</t>
        </is>
      </c>
      <c r="D59" t="inlineStr">
        <is>
          <t>Очиститель стёкол 500мл</t>
        </is>
      </c>
      <c r="E59" t="n">
        <v>137</v>
      </c>
      <c r="F59" t="n">
        <v>220</v>
      </c>
      <c r="G59" t="inlineStr">
        <is>
          <t>Карта</t>
        </is>
      </c>
      <c r="H59" t="inlineStr">
        <is>
          <t>N</t>
        </is>
      </c>
    </row>
    <row r="60">
      <c r="A60" t="inlineStr">
        <is>
          <t>2026-04-08</t>
        </is>
      </c>
      <c r="B60" t="inlineStr">
        <is>
          <t>WB-200000278</t>
        </is>
      </c>
      <c r="C60" t="inlineStr">
        <is>
          <t>ABC-CLN-042</t>
        </is>
      </c>
      <c r="D60" t="inlineStr">
        <is>
          <t>Средство для пола 1л</t>
        </is>
      </c>
      <c r="E60" t="n">
        <v>514</v>
      </c>
      <c r="F60" t="n">
        <v>334</v>
      </c>
      <c r="G60" t="inlineStr">
        <is>
          <t>Ozon Pay</t>
        </is>
      </c>
      <c r="H60" t="inlineStr">
        <is>
          <t>N</t>
        </is>
      </c>
    </row>
    <row r="61">
      <c r="A61" t="inlineStr">
        <is>
          <t>2026-04-08</t>
        </is>
      </c>
      <c r="B61" t="inlineStr">
        <is>
          <t>WB-200001775</t>
        </is>
      </c>
      <c r="C61" t="inlineStr">
        <is>
          <t>ABC-LDR-034</t>
        </is>
      </c>
      <c r="D61" t="inlineStr">
        <is>
          <t>Детский гель для стирки 1.5л</t>
        </is>
      </c>
      <c r="E61" t="n">
        <v>128</v>
      </c>
      <c r="F61" t="n">
        <v>720</v>
      </c>
      <c r="G61" t="inlineStr">
        <is>
          <t>Wallet</t>
        </is>
      </c>
      <c r="H61" t="inlineStr">
        <is>
          <t>N</t>
        </is>
      </c>
    </row>
    <row r="62">
      <c r="A62" t="inlineStr">
        <is>
          <t>2026-04-08</t>
        </is>
      </c>
      <c r="B62" t="inlineStr">
        <is>
          <t>WB-200003256</t>
        </is>
      </c>
      <c r="C62" t="inlineStr">
        <is>
          <t>ABC-LDR-027</t>
        </is>
      </c>
      <c r="D62" t="inlineStr">
        <is>
          <t>Кондиционер для белья 1л</t>
        </is>
      </c>
      <c r="E62" t="n">
        <v>164</v>
      </c>
      <c r="F62" t="n">
        <v>290</v>
      </c>
      <c r="G62" t="inlineStr">
        <is>
          <t>Ozon Pay</t>
        </is>
      </c>
      <c r="H62" t="inlineStr">
        <is>
          <t>N</t>
        </is>
      </c>
    </row>
    <row r="63">
      <c r="A63" t="inlineStr">
        <is>
          <t>2026-04-08</t>
        </is>
      </c>
      <c r="B63" t="inlineStr">
        <is>
          <t>WB-200004269</t>
        </is>
      </c>
      <c r="C63" t="inlineStr">
        <is>
          <t>ABC-LDR-027</t>
        </is>
      </c>
      <c r="D63" t="inlineStr">
        <is>
          <t>Кондиционер для белья 1л</t>
        </is>
      </c>
      <c r="E63" t="n">
        <v>-38</v>
      </c>
      <c r="F63" t="n">
        <v>290</v>
      </c>
      <c r="G63" t="inlineStr">
        <is>
          <t>Карта</t>
        </is>
      </c>
      <c r="H63" t="inlineStr">
        <is>
          <t>Y</t>
        </is>
      </c>
    </row>
    <row r="64">
      <c r="A64" t="inlineStr">
        <is>
          <t>2026-04-08</t>
        </is>
      </c>
      <c r="B64" t="inlineStr">
        <is>
          <t>WB-200004818</t>
        </is>
      </c>
      <c r="C64" t="inlineStr">
        <is>
          <t>ABC-DSH-018</t>
        </is>
      </c>
      <c r="D64" t="inlineStr">
        <is>
          <t>Средство для посуды 500мл</t>
        </is>
      </c>
      <c r="E64" t="n">
        <v>99</v>
      </c>
      <c r="F64" t="n">
        <v>240</v>
      </c>
      <c r="G64" t="inlineStr">
        <is>
          <t>Ozon Pay</t>
        </is>
      </c>
      <c r="H64" t="inlineStr">
        <is>
          <t>N</t>
        </is>
      </c>
    </row>
    <row r="65">
      <c r="A65" t="inlineStr">
        <is>
          <t>2026-04-08</t>
        </is>
      </c>
      <c r="B65" t="inlineStr">
        <is>
          <t>WB-200004842</t>
        </is>
      </c>
      <c r="C65" t="inlineStr">
        <is>
          <t>ABC-DSH-018</t>
        </is>
      </c>
      <c r="D65" t="inlineStr">
        <is>
          <t>Средство для посуды 500мл</t>
        </is>
      </c>
      <c r="E65" t="n">
        <v>164</v>
      </c>
      <c r="F65" t="n">
        <v>240</v>
      </c>
      <c r="G65" t="inlineStr">
        <is>
          <t>Wallet</t>
        </is>
      </c>
      <c r="H65" t="inlineStr">
        <is>
          <t>N</t>
        </is>
      </c>
    </row>
    <row r="66">
      <c r="A66" t="inlineStr">
        <is>
          <t>2026-04-08</t>
        </is>
      </c>
      <c r="B66" t="inlineStr">
        <is>
          <t>WB-200006446</t>
        </is>
      </c>
      <c r="D66" t="inlineStr">
        <is>
          <t>Чистящий крем кухня 750 мл</t>
        </is>
      </c>
      <c r="E66" t="n">
        <v>29</v>
      </c>
      <c r="F66" t="n">
        <v>350</v>
      </c>
      <c r="G66" t="inlineStr">
        <is>
          <t>Ozon Pay</t>
        </is>
      </c>
      <c r="H66" t="inlineStr">
        <is>
          <t>N</t>
        </is>
      </c>
    </row>
    <row r="67">
      <c r="A67" t="inlineStr">
        <is>
          <t>2026-04-08</t>
        </is>
      </c>
      <c r="B67" t="inlineStr">
        <is>
          <t>WB-200006488</t>
        </is>
      </c>
      <c r="D67" t="inlineStr">
        <is>
          <t>Чистящий крем кухня 750 мл</t>
        </is>
      </c>
      <c r="E67" t="n">
        <v>116</v>
      </c>
      <c r="F67" t="n">
        <v>350</v>
      </c>
      <c r="G67" t="inlineStr">
        <is>
          <t>Карта</t>
        </is>
      </c>
      <c r="H67" t="inlineStr">
        <is>
          <t>N</t>
        </is>
      </c>
    </row>
    <row r="68">
      <c r="A68" t="inlineStr">
        <is>
          <t>2026-04-08</t>
        </is>
      </c>
      <c r="B68" t="inlineStr">
        <is>
          <t>WB-200007897</t>
        </is>
      </c>
      <c r="C68" t="inlineStr">
        <is>
          <t>WND-009</t>
        </is>
      </c>
      <c r="D68" t="inlineStr">
        <is>
          <t>Очиститель стёкол 500мл</t>
        </is>
      </c>
      <c r="E68" t="n">
        <v>205</v>
      </c>
      <c r="F68" t="n">
        <v>202</v>
      </c>
      <c r="G68" t="inlineStr">
        <is>
          <t>Карта</t>
        </is>
      </c>
      <c r="H68" t="inlineStr">
        <is>
          <t>N</t>
        </is>
      </c>
    </row>
    <row r="69">
      <c r="A69" t="inlineStr">
        <is>
          <t>2026-04-08</t>
        </is>
      </c>
      <c r="B69" t="inlineStr">
        <is>
          <t>WB-200007920</t>
        </is>
      </c>
      <c r="C69" t="inlineStr">
        <is>
          <t>WND-009</t>
        </is>
      </c>
      <c r="D69" t="inlineStr">
        <is>
          <t>Очиститель стёкол 500мл</t>
        </is>
      </c>
      <c r="E69" t="n">
        <v>86</v>
      </c>
      <c r="F69" t="n">
        <v>202</v>
      </c>
      <c r="G69" t="inlineStr">
        <is>
          <t>Wallet</t>
        </is>
      </c>
      <c r="H69" t="inlineStr">
        <is>
          <t>N</t>
        </is>
      </c>
    </row>
    <row r="70">
      <c r="A70" t="inlineStr">
        <is>
          <t>2026-04-09</t>
        </is>
      </c>
      <c r="B70" t="inlineStr">
        <is>
          <t>WB-200000311</t>
        </is>
      </c>
      <c r="C70" t="inlineStr">
        <is>
          <t>ABC-CLN-042</t>
        </is>
      </c>
      <c r="D70" t="inlineStr">
        <is>
          <t>Средство для пола 1л</t>
        </is>
      </c>
      <c r="E70" t="n">
        <v>514</v>
      </c>
      <c r="F70" t="n">
        <v>334</v>
      </c>
      <c r="G70" t="inlineStr">
        <is>
          <t>Карта</t>
        </is>
      </c>
      <c r="H70" t="inlineStr">
        <is>
          <t>N</t>
        </is>
      </c>
    </row>
    <row r="71">
      <c r="A71" t="inlineStr">
        <is>
          <t>2026-04-09</t>
        </is>
      </c>
      <c r="B71" t="inlineStr">
        <is>
          <t>WB-200001797</t>
        </is>
      </c>
      <c r="C71" t="inlineStr">
        <is>
          <t>ABC-LDR-034</t>
        </is>
      </c>
      <c r="D71" t="inlineStr">
        <is>
          <t>Детский гель для стирки 1.5л</t>
        </is>
      </c>
      <c r="E71" t="n">
        <v>128</v>
      </c>
      <c r="F71" t="n">
        <v>720</v>
      </c>
      <c r="G71" t="inlineStr">
        <is>
          <t>Ozon Pay</t>
        </is>
      </c>
      <c r="H71" t="inlineStr">
        <is>
          <t>N</t>
        </is>
      </c>
    </row>
    <row r="72">
      <c r="A72" t="inlineStr">
        <is>
          <t>2026-04-09</t>
        </is>
      </c>
      <c r="B72" t="inlineStr">
        <is>
          <t>WB-200003278</t>
        </is>
      </c>
      <c r="C72" t="inlineStr">
        <is>
          <t>ABC-LDR-027</t>
        </is>
      </c>
      <c r="D72" t="inlineStr">
        <is>
          <t>Кондиционер для белья 1л</t>
        </is>
      </c>
      <c r="E72" t="n">
        <v>103</v>
      </c>
      <c r="F72" t="n">
        <v>290</v>
      </c>
      <c r="G72" t="inlineStr">
        <is>
          <t>Wallet</t>
        </is>
      </c>
      <c r="H72" t="inlineStr">
        <is>
          <t>N</t>
        </is>
      </c>
    </row>
    <row r="73">
      <c r="A73" t="inlineStr">
        <is>
          <t>2026-04-09</t>
        </is>
      </c>
      <c r="B73" t="inlineStr">
        <is>
          <t>WB-200003322</t>
        </is>
      </c>
      <c r="C73" t="inlineStr">
        <is>
          <t>ABC-LDR-027</t>
        </is>
      </c>
      <c r="D73" t="inlineStr">
        <is>
          <t>Кондиционер для белья 1л</t>
        </is>
      </c>
      <c r="E73" t="n">
        <v>61</v>
      </c>
      <c r="F73" t="n">
        <v>290</v>
      </c>
      <c r="G73" t="inlineStr">
        <is>
          <t>Ozon Pay</t>
        </is>
      </c>
      <c r="H73" t="inlineStr">
        <is>
          <t>N</t>
        </is>
      </c>
    </row>
    <row r="74">
      <c r="A74" t="inlineStr">
        <is>
          <t>2026-04-09</t>
        </is>
      </c>
      <c r="B74" t="inlineStr">
        <is>
          <t>WB-200004869</t>
        </is>
      </c>
      <c r="C74" t="inlineStr">
        <is>
          <t>ABC-DSH-018</t>
        </is>
      </c>
      <c r="D74" t="inlineStr">
        <is>
          <t>Средство для посуды 500мл</t>
        </is>
      </c>
      <c r="E74" t="n">
        <v>164</v>
      </c>
      <c r="F74" t="n">
        <v>240</v>
      </c>
      <c r="G74" t="inlineStr">
        <is>
          <t>Wallet</t>
        </is>
      </c>
      <c r="H74" t="inlineStr">
        <is>
          <t>N</t>
        </is>
      </c>
    </row>
    <row r="75">
      <c r="A75" t="inlineStr">
        <is>
          <t>2026-04-09</t>
        </is>
      </c>
      <c r="B75" t="inlineStr">
        <is>
          <t>WB-200004883</t>
        </is>
      </c>
      <c r="C75" t="inlineStr">
        <is>
          <t>ABC-DSH-018</t>
        </is>
      </c>
      <c r="D75" t="inlineStr">
        <is>
          <t>Средство для посуды 500мл</t>
        </is>
      </c>
      <c r="E75" t="n">
        <v>99</v>
      </c>
      <c r="F75" t="n">
        <v>240</v>
      </c>
      <c r="G75" t="inlineStr">
        <is>
          <t>Ozon Pay</t>
        </is>
      </c>
      <c r="H75" t="inlineStr">
        <is>
          <t>N</t>
        </is>
      </c>
    </row>
    <row r="76">
      <c r="A76" t="inlineStr">
        <is>
          <t>2026-04-09</t>
        </is>
      </c>
      <c r="B76" t="inlineStr">
        <is>
          <t>WB-200006510</t>
        </is>
      </c>
      <c r="D76" t="inlineStr">
        <is>
          <t>Чистящий крем кухня 750 мл</t>
        </is>
      </c>
      <c r="E76" t="n">
        <v>145</v>
      </c>
      <c r="F76" t="n">
        <v>350</v>
      </c>
      <c r="G76" t="inlineStr">
        <is>
          <t>Ozon Pay</t>
        </is>
      </c>
      <c r="H76" t="inlineStr">
        <is>
          <t>N</t>
        </is>
      </c>
    </row>
    <row r="77">
      <c r="A77" t="inlineStr">
        <is>
          <t>2026-04-09</t>
        </is>
      </c>
      <c r="B77" t="inlineStr">
        <is>
          <t>WB-200007959</t>
        </is>
      </c>
      <c r="C77" t="inlineStr">
        <is>
          <t>WND-009</t>
        </is>
      </c>
      <c r="D77" t="inlineStr">
        <is>
          <t>Очиститель стёкол 500мл</t>
        </is>
      </c>
      <c r="E77" t="n">
        <v>109</v>
      </c>
      <c r="F77" t="n">
        <v>202</v>
      </c>
      <c r="G77" t="inlineStr">
        <is>
          <t>Ozon Pay</t>
        </is>
      </c>
      <c r="H77" t="inlineStr">
        <is>
          <t>N</t>
        </is>
      </c>
    </row>
    <row r="78">
      <c r="A78" t="inlineStr">
        <is>
          <t>2026-04-09</t>
        </is>
      </c>
      <c r="B78" t="inlineStr">
        <is>
          <t>WB-200008004</t>
        </is>
      </c>
      <c r="C78" t="inlineStr">
        <is>
          <t>WND-009</t>
        </is>
      </c>
      <c r="D78" t="inlineStr">
        <is>
          <t>Очиститель стёкол 500мл</t>
        </is>
      </c>
      <c r="E78" t="n">
        <v>182</v>
      </c>
      <c r="F78" t="n">
        <v>202</v>
      </c>
      <c r="G78" t="inlineStr">
        <is>
          <t>Wallet</t>
        </is>
      </c>
      <c r="H78" t="inlineStr">
        <is>
          <t>N</t>
        </is>
      </c>
    </row>
    <row r="79">
      <c r="A79" t="inlineStr">
        <is>
          <t>2026-04-10</t>
        </is>
      </c>
      <c r="B79" t="inlineStr">
        <is>
          <t>WB-200000330</t>
        </is>
      </c>
      <c r="C79" t="inlineStr">
        <is>
          <t>ABC-CLN-042</t>
        </is>
      </c>
      <c r="D79" t="inlineStr">
        <is>
          <t>Средство для пола 1л</t>
        </is>
      </c>
      <c r="E79" t="n">
        <v>321</v>
      </c>
      <c r="F79" t="n">
        <v>334</v>
      </c>
      <c r="G79" t="inlineStr">
        <is>
          <t>Wallet</t>
        </is>
      </c>
      <c r="H79" t="inlineStr">
        <is>
          <t>N</t>
        </is>
      </c>
    </row>
    <row r="80">
      <c r="A80" t="inlineStr">
        <is>
          <t>2026-04-10</t>
        </is>
      </c>
      <c r="B80" t="inlineStr">
        <is>
          <t>WB-200000369</t>
        </is>
      </c>
      <c r="C80" t="inlineStr">
        <is>
          <t>ABC-CLN-042</t>
        </is>
      </c>
      <c r="D80" t="inlineStr">
        <is>
          <t>Средство для пола 1л</t>
        </is>
      </c>
      <c r="E80" t="n">
        <v>193</v>
      </c>
      <c r="F80" t="n">
        <v>334</v>
      </c>
      <c r="G80" t="inlineStr">
        <is>
          <t>Ozon Pay</t>
        </is>
      </c>
      <c r="H80" t="inlineStr">
        <is>
          <t>N</t>
        </is>
      </c>
    </row>
    <row r="81">
      <c r="A81" t="inlineStr">
        <is>
          <t>2026-04-10</t>
        </is>
      </c>
      <c r="B81" t="inlineStr">
        <is>
          <t>WB-200001810</t>
        </is>
      </c>
      <c r="C81" t="inlineStr">
        <is>
          <t>ABC-LDR-034</t>
        </is>
      </c>
      <c r="D81" t="inlineStr">
        <is>
          <t>Детский гель для стирки 1.5л</t>
        </is>
      </c>
      <c r="E81" t="n">
        <v>38</v>
      </c>
      <c r="F81" t="n">
        <v>720</v>
      </c>
      <c r="G81" t="inlineStr">
        <is>
          <t>Wallet</t>
        </is>
      </c>
      <c r="H81" t="inlineStr">
        <is>
          <t>N</t>
        </is>
      </c>
    </row>
    <row r="82">
      <c r="A82" t="inlineStr">
        <is>
          <t>2026-04-10</t>
        </is>
      </c>
      <c r="B82" t="inlineStr">
        <is>
          <t>WB-200001849</t>
        </is>
      </c>
      <c r="C82" t="inlineStr">
        <is>
          <t>ABC-LDR-034</t>
        </is>
      </c>
      <c r="D82" t="inlineStr">
        <is>
          <t>Детский гель для стирки 1.5л</t>
        </is>
      </c>
      <c r="E82" t="n">
        <v>90</v>
      </c>
      <c r="F82" t="n">
        <v>720</v>
      </c>
      <c r="G82" t="inlineStr">
        <is>
          <t>Карта</t>
        </is>
      </c>
      <c r="H82" t="inlineStr">
        <is>
          <t>N</t>
        </is>
      </c>
    </row>
    <row r="83">
      <c r="A83" t="inlineStr">
        <is>
          <t>2026-04-10</t>
        </is>
      </c>
      <c r="B83" t="inlineStr">
        <is>
          <t>WB-200003342</t>
        </is>
      </c>
      <c r="C83" t="inlineStr">
        <is>
          <t>ABC-LDR-027</t>
        </is>
      </c>
      <c r="D83" t="inlineStr">
        <is>
          <t>Кондиционер для белья 1л</t>
        </is>
      </c>
      <c r="E83" t="n">
        <v>164</v>
      </c>
      <c r="F83" t="n">
        <v>290</v>
      </c>
      <c r="G83" t="inlineStr">
        <is>
          <t>Wallet</t>
        </is>
      </c>
      <c r="H83" t="inlineStr">
        <is>
          <t>N</t>
        </is>
      </c>
    </row>
    <row r="84">
      <c r="A84" t="inlineStr">
        <is>
          <t>2026-04-10</t>
        </is>
      </c>
      <c r="B84" t="inlineStr">
        <is>
          <t>WB-200004902</t>
        </is>
      </c>
      <c r="C84" t="inlineStr">
        <is>
          <t>ABC-DSH-018</t>
        </is>
      </c>
      <c r="D84" t="inlineStr">
        <is>
          <t>Средство для посуды 500мл</t>
        </is>
      </c>
      <c r="E84" t="n">
        <v>186</v>
      </c>
      <c r="F84" t="n">
        <v>240</v>
      </c>
      <c r="G84" t="inlineStr">
        <is>
          <t>Карта</t>
        </is>
      </c>
      <c r="H84" t="inlineStr">
        <is>
          <t>N</t>
        </is>
      </c>
    </row>
    <row r="85">
      <c r="A85" t="inlineStr">
        <is>
          <t>2026-04-10</t>
        </is>
      </c>
      <c r="B85" t="inlineStr">
        <is>
          <t>WB-200004948</t>
        </is>
      </c>
      <c r="C85" t="inlineStr">
        <is>
          <t>ABC-DSH-018</t>
        </is>
      </c>
      <c r="D85" t="inlineStr">
        <is>
          <t>Средство для посуды 500мл</t>
        </is>
      </c>
      <c r="E85" t="n">
        <v>77</v>
      </c>
      <c r="F85" t="n">
        <v>240</v>
      </c>
      <c r="G85" t="inlineStr">
        <is>
          <t>Wallet</t>
        </is>
      </c>
      <c r="H85" t="inlineStr">
        <is>
          <t>N</t>
        </is>
      </c>
    </row>
    <row r="86">
      <c r="A86" t="inlineStr">
        <is>
          <t>2026-04-10</t>
        </is>
      </c>
      <c r="B86" t="inlineStr">
        <is>
          <t>WB-200006526</t>
        </is>
      </c>
      <c r="D86" t="inlineStr">
        <is>
          <t>Чистящий крем кухня 750 мл</t>
        </is>
      </c>
      <c r="E86" t="n">
        <v>145</v>
      </c>
      <c r="F86" t="n">
        <v>350</v>
      </c>
      <c r="G86" t="inlineStr">
        <is>
          <t>Ozon Pay</t>
        </is>
      </c>
      <c r="H86" t="inlineStr">
        <is>
          <t>N</t>
        </is>
      </c>
    </row>
    <row r="87">
      <c r="A87" t="inlineStr">
        <is>
          <t>2026-04-10</t>
        </is>
      </c>
      <c r="B87" t="inlineStr">
        <is>
          <t>WB-200008024</t>
        </is>
      </c>
      <c r="C87" t="inlineStr">
        <is>
          <t>WND-009</t>
        </is>
      </c>
      <c r="D87" t="inlineStr">
        <is>
          <t>Очиститель стёкол 500мл</t>
        </is>
      </c>
      <c r="E87" t="n">
        <v>291</v>
      </c>
      <c r="F87" t="n">
        <v>202</v>
      </c>
      <c r="G87" t="inlineStr">
        <is>
          <t>Ozon Pay</t>
        </is>
      </c>
      <c r="H87" t="inlineStr">
        <is>
          <t>N</t>
        </is>
      </c>
    </row>
    <row r="88">
      <c r="A88" t="inlineStr">
        <is>
          <t>2026-04-11</t>
        </is>
      </c>
      <c r="B88" t="inlineStr">
        <is>
          <t>WB-200000403</t>
        </is>
      </c>
      <c r="C88" t="inlineStr">
        <is>
          <t>ABC-CLN-042</t>
        </is>
      </c>
      <c r="D88" t="inlineStr">
        <is>
          <t>Средство для пола 1л</t>
        </is>
      </c>
      <c r="E88" t="n">
        <v>343</v>
      </c>
      <c r="F88" t="n">
        <v>380</v>
      </c>
      <c r="G88" t="inlineStr">
        <is>
          <t>Карта</t>
        </is>
      </c>
      <c r="H88" t="inlineStr">
        <is>
          <t>N</t>
        </is>
      </c>
    </row>
    <row r="89">
      <c r="A89" t="inlineStr">
        <is>
          <t>2026-04-11</t>
        </is>
      </c>
      <c r="B89" t="inlineStr">
        <is>
          <t>WB-200001866</t>
        </is>
      </c>
      <c r="C89" t="inlineStr">
        <is>
          <t>ABC-LDR-034</t>
        </is>
      </c>
      <c r="D89" t="inlineStr">
        <is>
          <t>Детский гель для стирки 1.5л</t>
        </is>
      </c>
      <c r="E89" t="n">
        <v>26</v>
      </c>
      <c r="F89" t="n">
        <v>720</v>
      </c>
      <c r="G89" t="inlineStr">
        <is>
          <t>Ozon Pay</t>
        </is>
      </c>
      <c r="H89" t="inlineStr">
        <is>
          <t>N</t>
        </is>
      </c>
    </row>
    <row r="90">
      <c r="A90" t="inlineStr">
        <is>
          <t>2026-04-11</t>
        </is>
      </c>
      <c r="B90" t="inlineStr">
        <is>
          <t>WB-200001905</t>
        </is>
      </c>
      <c r="C90" t="inlineStr">
        <is>
          <t>ABC-LDR-034</t>
        </is>
      </c>
      <c r="D90" t="inlineStr">
        <is>
          <t>Детский гель для стирки 1.5л</t>
        </is>
      </c>
      <c r="E90" t="n">
        <v>102</v>
      </c>
      <c r="F90" t="n">
        <v>720</v>
      </c>
      <c r="G90" t="inlineStr">
        <is>
          <t>Карта</t>
        </is>
      </c>
      <c r="H90" t="inlineStr">
        <is>
          <t>N</t>
        </is>
      </c>
    </row>
    <row r="91">
      <c r="A91" t="inlineStr">
        <is>
          <t>2026-04-11</t>
        </is>
      </c>
      <c r="B91" t="inlineStr">
        <is>
          <t>WB-200003372</t>
        </is>
      </c>
      <c r="C91" t="inlineStr">
        <is>
          <t>ABC-LDR-027</t>
        </is>
      </c>
      <c r="D91" t="inlineStr">
        <is>
          <t>Кондиционер для белья 1л</t>
        </is>
      </c>
      <c r="E91" t="n">
        <v>116</v>
      </c>
      <c r="F91" t="n">
        <v>290</v>
      </c>
      <c r="G91" t="inlineStr">
        <is>
          <t>Карта</t>
        </is>
      </c>
      <c r="H91" t="inlineStr">
        <is>
          <t>N</t>
        </is>
      </c>
    </row>
    <row r="92">
      <c r="A92" t="inlineStr">
        <is>
          <t>2026-04-11</t>
        </is>
      </c>
      <c r="B92" t="inlineStr">
        <is>
          <t>WB-200003389</t>
        </is>
      </c>
      <c r="C92" t="inlineStr">
        <is>
          <t>ABC-LDR-027</t>
        </is>
      </c>
      <c r="D92" t="inlineStr">
        <is>
          <t>Кондиционер для белья 1л</t>
        </is>
      </c>
      <c r="E92" t="n">
        <v>48</v>
      </c>
      <c r="F92" t="n">
        <v>290</v>
      </c>
      <c r="G92" t="inlineStr">
        <is>
          <t>Wallet</t>
        </is>
      </c>
      <c r="H92" t="inlineStr">
        <is>
          <t>N</t>
        </is>
      </c>
    </row>
    <row r="93">
      <c r="A93" t="inlineStr">
        <is>
          <t>2026-04-11</t>
        </is>
      </c>
      <c r="B93" t="inlineStr">
        <is>
          <t>WB-200004973</t>
        </is>
      </c>
      <c r="C93" t="inlineStr">
        <is>
          <t>ABC-DSH-018</t>
        </is>
      </c>
      <c r="D93" t="inlineStr">
        <is>
          <t>Средство для посуды 500мл</t>
        </is>
      </c>
      <c r="E93" t="n">
        <v>263</v>
      </c>
      <c r="F93" t="n">
        <v>240</v>
      </c>
      <c r="G93" t="inlineStr">
        <is>
          <t>Ozon Pay</t>
        </is>
      </c>
      <c r="H93" t="inlineStr">
        <is>
          <t>N</t>
        </is>
      </c>
    </row>
    <row r="94">
      <c r="A94" t="inlineStr">
        <is>
          <t>2026-04-11</t>
        </is>
      </c>
      <c r="B94" t="inlineStr">
        <is>
          <t>WB-200006570</t>
        </is>
      </c>
      <c r="D94" t="inlineStr">
        <is>
          <t>Чистящий крем кухня 750 мл</t>
        </is>
      </c>
      <c r="E94" t="n">
        <v>54</v>
      </c>
      <c r="F94" t="n">
        <v>350</v>
      </c>
      <c r="G94" t="inlineStr">
        <is>
          <t>Ozon Pay</t>
        </is>
      </c>
      <c r="H94" t="inlineStr">
        <is>
          <t>N</t>
        </is>
      </c>
    </row>
    <row r="95">
      <c r="A95" t="inlineStr">
        <is>
          <t>2026-04-11</t>
        </is>
      </c>
      <c r="B95" t="inlineStr">
        <is>
          <t>WB-200006593</t>
        </is>
      </c>
      <c r="D95" t="inlineStr">
        <is>
          <t>Чистящий крем кухня 750 мл</t>
        </is>
      </c>
      <c r="E95" t="n">
        <v>91</v>
      </c>
      <c r="F95" t="n">
        <v>350</v>
      </c>
      <c r="G95" t="inlineStr">
        <is>
          <t>Wallet</t>
        </is>
      </c>
      <c r="H95" t="inlineStr">
        <is>
          <t>N</t>
        </is>
      </c>
    </row>
    <row r="96">
      <c r="A96" t="inlineStr">
        <is>
          <t>2026-04-11</t>
        </is>
      </c>
      <c r="B96" t="inlineStr">
        <is>
          <t>WB-200008049</t>
        </is>
      </c>
      <c r="C96" t="inlineStr">
        <is>
          <t>WND-009</t>
        </is>
      </c>
      <c r="D96" t="inlineStr">
        <is>
          <t>Очиститель стёкол 500мл</t>
        </is>
      </c>
      <c r="E96" t="n">
        <v>86</v>
      </c>
      <c r="F96" t="n">
        <v>202</v>
      </c>
      <c r="G96" t="inlineStr">
        <is>
          <t>Wallet</t>
        </is>
      </c>
      <c r="H96" t="inlineStr">
        <is>
          <t>N</t>
        </is>
      </c>
    </row>
    <row r="97">
      <c r="A97" t="inlineStr">
        <is>
          <t>2026-04-11</t>
        </is>
      </c>
      <c r="B97" t="inlineStr">
        <is>
          <t>WB-200008094</t>
        </is>
      </c>
      <c r="C97" t="inlineStr">
        <is>
          <t>WND-009</t>
        </is>
      </c>
      <c r="D97" t="inlineStr">
        <is>
          <t>Очиститель стёкол 500мл</t>
        </is>
      </c>
      <c r="E97" t="n">
        <v>205</v>
      </c>
      <c r="F97" t="n">
        <v>202</v>
      </c>
      <c r="G97" t="inlineStr">
        <is>
          <t>Карта</t>
        </is>
      </c>
      <c r="H97" t="inlineStr">
        <is>
          <t>N</t>
        </is>
      </c>
    </row>
    <row r="98">
      <c r="A98" t="inlineStr">
        <is>
          <t>2026-04-12</t>
        </is>
      </c>
      <c r="B98" t="inlineStr">
        <is>
          <t>WB-200000419</t>
        </is>
      </c>
      <c r="C98" t="inlineStr">
        <is>
          <t>ABC-CLN-042</t>
        </is>
      </c>
      <c r="D98" t="inlineStr">
        <is>
          <t>Средство для пола 1л</t>
        </is>
      </c>
      <c r="E98" t="n">
        <v>214</v>
      </c>
      <c r="F98" t="n">
        <v>380</v>
      </c>
      <c r="G98" t="inlineStr">
        <is>
          <t>Wallet</t>
        </is>
      </c>
      <c r="H98" t="inlineStr">
        <is>
          <t>N</t>
        </is>
      </c>
    </row>
    <row r="99">
      <c r="A99" t="inlineStr">
        <is>
          <t>2026-04-12</t>
        </is>
      </c>
      <c r="B99" t="inlineStr">
        <is>
          <t>WB-200000463</t>
        </is>
      </c>
      <c r="C99" t="inlineStr">
        <is>
          <t>ABC-CLN-042</t>
        </is>
      </c>
      <c r="D99" t="inlineStr">
        <is>
          <t>Средство для пола 1л</t>
        </is>
      </c>
      <c r="E99" t="n">
        <v>129</v>
      </c>
      <c r="F99" t="n">
        <v>380</v>
      </c>
      <c r="G99" t="inlineStr">
        <is>
          <t>Ozon Pay</t>
        </is>
      </c>
      <c r="H99" t="inlineStr">
        <is>
          <t>N</t>
        </is>
      </c>
    </row>
    <row r="100">
      <c r="A100" t="inlineStr">
        <is>
          <t>2026-04-12</t>
        </is>
      </c>
      <c r="B100" t="inlineStr">
        <is>
          <t>WB-200001419</t>
        </is>
      </c>
      <c r="C100" t="inlineStr">
        <is>
          <t>ABC-CLN-042</t>
        </is>
      </c>
      <c r="D100" t="inlineStr">
        <is>
          <t>Средство для пола 1л</t>
        </is>
      </c>
      <c r="E100" t="n">
        <v>-102</v>
      </c>
      <c r="F100" t="n">
        <v>380</v>
      </c>
      <c r="G100" t="inlineStr">
        <is>
          <t>Wallet</t>
        </is>
      </c>
      <c r="H100" t="inlineStr">
        <is>
          <t>Y</t>
        </is>
      </c>
    </row>
    <row r="101">
      <c r="A101" t="inlineStr">
        <is>
          <t>2026-04-12</t>
        </is>
      </c>
      <c r="B101" t="inlineStr">
        <is>
          <t>WB-200001952</t>
        </is>
      </c>
      <c r="C101" t="inlineStr">
        <is>
          <t>ABC-LDR-034</t>
        </is>
      </c>
      <c r="D101" t="inlineStr">
        <is>
          <t>Детский гель для стирки 1.5л</t>
        </is>
      </c>
      <c r="E101" t="n">
        <v>193</v>
      </c>
      <c r="F101" t="n">
        <v>662</v>
      </c>
      <c r="G101" t="inlineStr">
        <is>
          <t>Ozon Pay</t>
        </is>
      </c>
      <c r="H101" t="inlineStr">
        <is>
          <t>N</t>
        </is>
      </c>
    </row>
    <row r="102">
      <c r="A102" t="inlineStr">
        <is>
          <t>2026-04-12</t>
        </is>
      </c>
      <c r="B102" t="inlineStr">
        <is>
          <t>WB-200003436</t>
        </is>
      </c>
      <c r="C102" t="inlineStr">
        <is>
          <t>ABC-LDR-027</t>
        </is>
      </c>
      <c r="D102" t="inlineStr">
        <is>
          <t>Кондиционер для белья 1л</t>
        </is>
      </c>
      <c r="E102" t="n">
        <v>164</v>
      </c>
      <c r="F102" t="n">
        <v>290</v>
      </c>
      <c r="G102" t="inlineStr">
        <is>
          <t>Карта</t>
        </is>
      </c>
      <c r="H102" t="inlineStr">
        <is>
          <t>N</t>
        </is>
      </c>
    </row>
    <row r="103">
      <c r="A103" t="inlineStr">
        <is>
          <t>2026-04-12</t>
        </is>
      </c>
      <c r="B103" t="inlineStr">
        <is>
          <t>WB-200005008</t>
        </is>
      </c>
      <c r="C103" t="inlineStr">
        <is>
          <t>ABC-DSH-018</t>
        </is>
      </c>
      <c r="D103" t="inlineStr">
        <is>
          <t>Средство для посуды 500мл</t>
        </is>
      </c>
      <c r="E103" t="n">
        <v>99</v>
      </c>
      <c r="F103" t="n">
        <v>240</v>
      </c>
      <c r="G103" t="inlineStr">
        <is>
          <t>Ozon Pay</t>
        </is>
      </c>
      <c r="H103" t="inlineStr">
        <is>
          <t>N</t>
        </is>
      </c>
    </row>
    <row r="104">
      <c r="A104" t="inlineStr">
        <is>
          <t>2026-04-12</t>
        </is>
      </c>
      <c r="B104" t="inlineStr">
        <is>
          <t>WB-200005049</t>
        </is>
      </c>
      <c r="C104" t="inlineStr">
        <is>
          <t>ABC-DSH-018</t>
        </is>
      </c>
      <c r="D104" t="inlineStr">
        <is>
          <t>Средство для посуды 500мл</t>
        </is>
      </c>
      <c r="E104" t="n">
        <v>164</v>
      </c>
      <c r="F104" t="n">
        <v>240</v>
      </c>
      <c r="G104" t="inlineStr">
        <is>
          <t>Wallet</t>
        </is>
      </c>
      <c r="H104" t="inlineStr">
        <is>
          <t>N</t>
        </is>
      </c>
    </row>
    <row r="105">
      <c r="A105" t="inlineStr">
        <is>
          <t>2026-04-12</t>
        </is>
      </c>
      <c r="B105" t="inlineStr">
        <is>
          <t>WB-200005941</t>
        </is>
      </c>
      <c r="C105" t="inlineStr">
        <is>
          <t>ABC-DSH-018</t>
        </is>
      </c>
      <c r="D105" t="inlineStr">
        <is>
          <t>Средство для посуды 500мл</t>
        </is>
      </c>
      <c r="E105" t="n">
        <v>-80</v>
      </c>
      <c r="F105" t="n">
        <v>216</v>
      </c>
      <c r="G105" t="inlineStr">
        <is>
          <t>Wallet</t>
        </is>
      </c>
      <c r="H105" t="inlineStr">
        <is>
          <t>Y</t>
        </is>
      </c>
    </row>
    <row r="106">
      <c r="A106" t="inlineStr">
        <is>
          <t>2026-04-12</t>
        </is>
      </c>
      <c r="B106" t="inlineStr">
        <is>
          <t>WB-200006640</t>
        </is>
      </c>
      <c r="D106" t="inlineStr">
        <is>
          <t>Чистящий крем кухня 750 мл</t>
        </is>
      </c>
      <c r="E106" t="n">
        <v>54</v>
      </c>
      <c r="F106" t="n">
        <v>350</v>
      </c>
      <c r="G106" t="inlineStr">
        <is>
          <t>Ozon Pay</t>
        </is>
      </c>
      <c r="H106" t="inlineStr">
        <is>
          <t>N</t>
        </is>
      </c>
    </row>
    <row r="107">
      <c r="A107" t="inlineStr">
        <is>
          <t>2026-04-12</t>
        </is>
      </c>
      <c r="B107" t="inlineStr">
        <is>
          <t>WB-200006661</t>
        </is>
      </c>
      <c r="D107" t="inlineStr">
        <is>
          <t>Чистящий крем кухня 750 мл</t>
        </is>
      </c>
      <c r="E107" t="n">
        <v>91</v>
      </c>
      <c r="F107" t="n">
        <v>350</v>
      </c>
      <c r="G107" t="inlineStr">
        <is>
          <t>Wallet</t>
        </is>
      </c>
      <c r="H107" t="inlineStr">
        <is>
          <t>N</t>
        </is>
      </c>
    </row>
    <row r="108">
      <c r="A108" t="inlineStr">
        <is>
          <t>2026-04-12</t>
        </is>
      </c>
      <c r="B108" t="inlineStr">
        <is>
          <t>WB-200008131</t>
        </is>
      </c>
      <c r="C108" t="inlineStr">
        <is>
          <t>WND-009</t>
        </is>
      </c>
      <c r="D108" t="inlineStr">
        <is>
          <t>Очиститель стёкол 500мл</t>
        </is>
      </c>
      <c r="E108" t="n">
        <v>291</v>
      </c>
      <c r="F108" t="n">
        <v>202</v>
      </c>
      <c r="G108" t="inlineStr">
        <is>
          <t>Ozon Pay</t>
        </is>
      </c>
      <c r="H108" t="inlineStr">
        <is>
          <t>N</t>
        </is>
      </c>
    </row>
    <row r="109">
      <c r="A109" t="inlineStr">
        <is>
          <t>2026-04-13</t>
        </is>
      </c>
      <c r="B109" t="inlineStr">
        <is>
          <t>WB-200000485</t>
        </is>
      </c>
      <c r="C109" t="inlineStr">
        <is>
          <t>ABC-CLN-042</t>
        </is>
      </c>
      <c r="D109" t="inlineStr">
        <is>
          <t>Средство для пола 1л</t>
        </is>
      </c>
      <c r="E109" t="n">
        <v>242</v>
      </c>
      <c r="F109" t="n">
        <v>380</v>
      </c>
      <c r="G109" t="inlineStr">
        <is>
          <t>Карта</t>
        </is>
      </c>
      <c r="H109" t="inlineStr">
        <is>
          <t>N</t>
        </is>
      </c>
    </row>
    <row r="110">
      <c r="A110" t="inlineStr">
        <is>
          <t>2026-04-13</t>
        </is>
      </c>
      <c r="B110" t="inlineStr">
        <is>
          <t>WB-200000499</t>
        </is>
      </c>
      <c r="C110" t="inlineStr">
        <is>
          <t>ABC-CLN-042</t>
        </is>
      </c>
      <c r="D110" t="inlineStr">
        <is>
          <t>Средство для пола 1л</t>
        </is>
      </c>
      <c r="E110" t="n">
        <v>101</v>
      </c>
      <c r="F110" t="n">
        <v>380</v>
      </c>
      <c r="G110" t="inlineStr">
        <is>
          <t>Wallet</t>
        </is>
      </c>
      <c r="H110" t="inlineStr">
        <is>
          <t>N</t>
        </is>
      </c>
    </row>
    <row r="111">
      <c r="A111" t="inlineStr">
        <is>
          <t>2026-04-13</t>
        </is>
      </c>
      <c r="B111" t="inlineStr">
        <is>
          <t>WB-200001980</t>
        </is>
      </c>
      <c r="C111" t="inlineStr">
        <is>
          <t>ABC-LDR-034</t>
        </is>
      </c>
      <c r="D111" t="inlineStr">
        <is>
          <t>Детский гель для стирки 1.5л</t>
        </is>
      </c>
      <c r="E111" t="n">
        <v>193</v>
      </c>
      <c r="F111" t="n">
        <v>662</v>
      </c>
      <c r="G111" t="inlineStr">
        <is>
          <t>Ozon Pay</t>
        </is>
      </c>
      <c r="H111" t="inlineStr">
        <is>
          <t>N</t>
        </is>
      </c>
    </row>
    <row r="112">
      <c r="A112" t="inlineStr">
        <is>
          <t>2026-04-13</t>
        </is>
      </c>
      <c r="B112" t="inlineStr">
        <is>
          <t>WB-200003467</t>
        </is>
      </c>
      <c r="C112" t="inlineStr">
        <is>
          <t>ABC-LDR-027</t>
        </is>
      </c>
      <c r="D112" t="inlineStr">
        <is>
          <t>Кондиционер для белья 1л</t>
        </is>
      </c>
      <c r="E112" t="n">
        <v>164</v>
      </c>
      <c r="F112" t="n">
        <v>290</v>
      </c>
      <c r="G112" t="inlineStr">
        <is>
          <t>Ozon Pay</t>
        </is>
      </c>
      <c r="H112" t="inlineStr">
        <is>
          <t>N</t>
        </is>
      </c>
    </row>
    <row r="113">
      <c r="A113" t="inlineStr">
        <is>
          <t>2026-04-13</t>
        </is>
      </c>
      <c r="B113" t="inlineStr">
        <is>
          <t>WB-200005094</t>
        </is>
      </c>
      <c r="C113" t="inlineStr">
        <is>
          <t>ABC-DSH-018</t>
        </is>
      </c>
      <c r="D113" t="inlineStr">
        <is>
          <t>Средство для посуды 500мл</t>
        </is>
      </c>
      <c r="E113" t="n">
        <v>263</v>
      </c>
      <c r="F113" t="n">
        <v>240</v>
      </c>
      <c r="G113" t="inlineStr">
        <is>
          <t>Wallet</t>
        </is>
      </c>
      <c r="H113" t="inlineStr">
        <is>
          <t>N</t>
        </is>
      </c>
    </row>
    <row r="114">
      <c r="A114" t="inlineStr">
        <is>
          <t>2026-04-13</t>
        </is>
      </c>
      <c r="B114" t="inlineStr">
        <is>
          <t>WB-200006702</t>
        </is>
      </c>
      <c r="D114" t="inlineStr">
        <is>
          <t>Чистящий крем кухня 750 мл</t>
        </is>
      </c>
      <c r="E114" t="n">
        <v>91</v>
      </c>
      <c r="F114" t="n">
        <v>350</v>
      </c>
      <c r="G114" t="inlineStr">
        <is>
          <t>Wallet</t>
        </is>
      </c>
      <c r="H114" t="inlineStr">
        <is>
          <t>N</t>
        </is>
      </c>
    </row>
    <row r="115">
      <c r="A115" t="inlineStr">
        <is>
          <t>2026-04-13</t>
        </is>
      </c>
      <c r="B115" t="inlineStr">
        <is>
          <t>WB-200006724</t>
        </is>
      </c>
      <c r="D115" t="inlineStr">
        <is>
          <t>Чистящий крем кухня 750 мл</t>
        </is>
      </c>
      <c r="E115" t="n">
        <v>54</v>
      </c>
      <c r="F115" t="n">
        <v>350</v>
      </c>
      <c r="G115" t="inlineStr">
        <is>
          <t>Ozon Pay</t>
        </is>
      </c>
      <c r="H115" t="inlineStr">
        <is>
          <t>N</t>
        </is>
      </c>
    </row>
    <row r="116">
      <c r="A116" t="inlineStr">
        <is>
          <t>2026-04-13</t>
        </is>
      </c>
      <c r="B116" t="inlineStr">
        <is>
          <t>WB-200008169</t>
        </is>
      </c>
      <c r="C116" t="inlineStr">
        <is>
          <t>WND-009</t>
        </is>
      </c>
      <c r="D116" t="inlineStr">
        <is>
          <t>Очиститель стёкол 500мл</t>
        </is>
      </c>
      <c r="E116" t="n">
        <v>86</v>
      </c>
      <c r="F116" t="n">
        <v>202</v>
      </c>
      <c r="G116" t="inlineStr">
        <is>
          <t>Wallet</t>
        </is>
      </c>
      <c r="H116" t="inlineStr">
        <is>
          <t>N</t>
        </is>
      </c>
    </row>
    <row r="117">
      <c r="A117" t="inlineStr">
        <is>
          <t>2026-04-13</t>
        </is>
      </c>
      <c r="B117" t="inlineStr">
        <is>
          <t>WB-200008195</t>
        </is>
      </c>
      <c r="C117" t="inlineStr">
        <is>
          <t>WND-009</t>
        </is>
      </c>
      <c r="D117" t="inlineStr">
        <is>
          <t>Очиститель стёкол 500мл</t>
        </is>
      </c>
      <c r="E117" t="n">
        <v>205</v>
      </c>
      <c r="F117" t="n">
        <v>202</v>
      </c>
      <c r="G117" t="inlineStr">
        <is>
          <t>Карта</t>
        </is>
      </c>
      <c r="H117" t="inlineStr">
        <is>
          <t>N</t>
        </is>
      </c>
    </row>
    <row r="118">
      <c r="A118" t="inlineStr">
        <is>
          <t>2026-04-14</t>
        </is>
      </c>
      <c r="B118" t="inlineStr">
        <is>
          <t>WB-200000539</t>
        </is>
      </c>
      <c r="C118" t="inlineStr">
        <is>
          <t>ABC-CLN-042</t>
        </is>
      </c>
      <c r="D118" t="inlineStr">
        <is>
          <t>Средство для пола 1л</t>
        </is>
      </c>
      <c r="E118" t="n">
        <v>343</v>
      </c>
      <c r="F118" t="n">
        <v>380</v>
      </c>
      <c r="G118" t="inlineStr">
        <is>
          <t>Wallet</t>
        </is>
      </c>
      <c r="H118" t="inlineStr">
        <is>
          <t>N</t>
        </is>
      </c>
    </row>
    <row r="119">
      <c r="A119" t="inlineStr">
        <is>
          <t>2026-04-14</t>
        </is>
      </c>
      <c r="B119" t="inlineStr">
        <is>
          <t>WB-200001993</t>
        </is>
      </c>
      <c r="C119" t="inlineStr">
        <is>
          <t>ABC-LDR-034</t>
        </is>
      </c>
      <c r="D119" t="inlineStr">
        <is>
          <t>Детский гель для стирки 1.5л</t>
        </is>
      </c>
      <c r="E119" t="n">
        <v>193</v>
      </c>
      <c r="F119" t="n">
        <v>662</v>
      </c>
      <c r="G119" t="inlineStr">
        <is>
          <t>Ozon Pay</t>
        </is>
      </c>
      <c r="H119" t="inlineStr">
        <is>
          <t>N</t>
        </is>
      </c>
    </row>
    <row r="120">
      <c r="A120" t="inlineStr">
        <is>
          <t>2026-04-14</t>
        </is>
      </c>
      <c r="B120" t="inlineStr">
        <is>
          <t>WB-200003485</t>
        </is>
      </c>
      <c r="C120" t="inlineStr">
        <is>
          <t>ABC-LDR-027</t>
        </is>
      </c>
      <c r="D120" t="inlineStr">
        <is>
          <t>Кондиционер для белья 1л</t>
        </is>
      </c>
      <c r="E120" t="n">
        <v>164</v>
      </c>
      <c r="F120" t="n">
        <v>290</v>
      </c>
      <c r="G120" t="inlineStr">
        <is>
          <t>Карта</t>
        </is>
      </c>
      <c r="H120" t="inlineStr">
        <is>
          <t>N</t>
        </is>
      </c>
    </row>
    <row r="121">
      <c r="A121" t="inlineStr">
        <is>
          <t>2026-04-14</t>
        </is>
      </c>
      <c r="B121" t="inlineStr">
        <is>
          <t>WB-200005116</t>
        </is>
      </c>
      <c r="C121" t="inlineStr">
        <is>
          <t>ABC-DSH-018</t>
        </is>
      </c>
      <c r="D121" t="inlineStr">
        <is>
          <t>Средство для посуды 500мл</t>
        </is>
      </c>
      <c r="E121" t="n">
        <v>77</v>
      </c>
      <c r="F121" t="n">
        <v>240</v>
      </c>
      <c r="G121" t="inlineStr">
        <is>
          <t>Wallet</t>
        </is>
      </c>
      <c r="H121" t="inlineStr">
        <is>
          <t>N</t>
        </is>
      </c>
    </row>
    <row r="122">
      <c r="A122" t="inlineStr">
        <is>
          <t>2026-04-14</t>
        </is>
      </c>
      <c r="B122" t="inlineStr">
        <is>
          <t>WB-200005151</t>
        </is>
      </c>
      <c r="C122" t="inlineStr">
        <is>
          <t>ABC-DSH-018</t>
        </is>
      </c>
      <c r="D122" t="inlineStr">
        <is>
          <t>Средство для посуды 500мл</t>
        </is>
      </c>
      <c r="E122" t="n">
        <v>186</v>
      </c>
      <c r="F122" t="n">
        <v>240</v>
      </c>
      <c r="G122" t="inlineStr">
        <is>
          <t>Карта</t>
        </is>
      </c>
      <c r="H122" t="inlineStr">
        <is>
          <t>N</t>
        </is>
      </c>
    </row>
    <row r="123">
      <c r="A123" t="inlineStr">
        <is>
          <t>2026-04-14</t>
        </is>
      </c>
      <c r="B123" t="inlineStr">
        <is>
          <t>WB-200006753</t>
        </is>
      </c>
      <c r="D123" t="inlineStr">
        <is>
          <t>Чистящий крем кухня 750 мл</t>
        </is>
      </c>
      <c r="E123" t="n">
        <v>102</v>
      </c>
      <c r="F123" t="n">
        <v>350</v>
      </c>
      <c r="G123" t="inlineStr">
        <is>
          <t>Карта</t>
        </is>
      </c>
      <c r="H123" t="inlineStr">
        <is>
          <t>N</t>
        </is>
      </c>
    </row>
    <row r="124">
      <c r="A124" t="inlineStr">
        <is>
          <t>2026-04-14</t>
        </is>
      </c>
      <c r="B124" t="inlineStr">
        <is>
          <t>WB-200006782</t>
        </is>
      </c>
      <c r="D124" t="inlineStr">
        <is>
          <t>Чистящий крем кухня 750 мл</t>
        </is>
      </c>
      <c r="E124" t="n">
        <v>43</v>
      </c>
      <c r="F124" t="n">
        <v>350</v>
      </c>
      <c r="G124" t="inlineStr">
        <is>
          <t>Wallet</t>
        </is>
      </c>
      <c r="H124" t="inlineStr">
        <is>
          <t>N</t>
        </is>
      </c>
    </row>
    <row r="125">
      <c r="A125" t="inlineStr">
        <is>
          <t>2026-04-14</t>
        </is>
      </c>
      <c r="B125" t="inlineStr">
        <is>
          <t>WB-200007573</t>
        </is>
      </c>
      <c r="D125" t="inlineStr">
        <is>
          <t>Чистящий крем кухня 750 мл</t>
        </is>
      </c>
      <c r="E125" t="n">
        <v>-48</v>
      </c>
      <c r="F125" t="n">
        <v>350</v>
      </c>
      <c r="G125" t="inlineStr">
        <is>
          <t>Ozon Pay</t>
        </is>
      </c>
      <c r="H125" t="inlineStr">
        <is>
          <t>Y</t>
        </is>
      </c>
    </row>
    <row r="126">
      <c r="A126" t="inlineStr">
        <is>
          <t>2026-04-14</t>
        </is>
      </c>
      <c r="B126" t="inlineStr">
        <is>
          <t>WB-200008234</t>
        </is>
      </c>
      <c r="C126" t="inlineStr">
        <is>
          <t>WND-009</t>
        </is>
      </c>
      <c r="D126" t="inlineStr">
        <is>
          <t>Очиститель стёкол 500мл</t>
        </is>
      </c>
      <c r="E126" t="n">
        <v>39</v>
      </c>
      <c r="F126" t="n">
        <v>220</v>
      </c>
      <c r="G126" t="inlineStr">
        <is>
          <t>Ozon Pay</t>
        </is>
      </c>
      <c r="H126" t="inlineStr">
        <is>
          <t>N</t>
        </is>
      </c>
    </row>
    <row r="127">
      <c r="A127" t="inlineStr">
        <is>
          <t>2026-04-14</t>
        </is>
      </c>
      <c r="B127" t="inlineStr">
        <is>
          <t>WB-200008253</t>
        </is>
      </c>
      <c r="C127" t="inlineStr">
        <is>
          <t>WND-009</t>
        </is>
      </c>
      <c r="D127" t="inlineStr">
        <is>
          <t>Очиститель стёкол 500мл</t>
        </is>
      </c>
      <c r="E127" t="n">
        <v>155</v>
      </c>
      <c r="F127" t="n">
        <v>220</v>
      </c>
      <c r="G127" t="inlineStr">
        <is>
          <t>Карта</t>
        </is>
      </c>
      <c r="H127" t="inlineStr">
        <is>
          <t>N</t>
        </is>
      </c>
    </row>
    <row r="128">
      <c r="A128" t="inlineStr">
        <is>
          <t>2026-04-15</t>
        </is>
      </c>
      <c r="B128" t="inlineStr">
        <is>
          <t>WB-200000576</t>
        </is>
      </c>
      <c r="C128" t="inlineStr">
        <is>
          <t>ABC-CLN-042</t>
        </is>
      </c>
      <c r="D128" t="inlineStr">
        <is>
          <t>Средство для пола 1л</t>
        </is>
      </c>
      <c r="E128" t="n">
        <v>242</v>
      </c>
      <c r="F128" t="n">
        <v>380</v>
      </c>
      <c r="G128" t="inlineStr">
        <is>
          <t>Карта</t>
        </is>
      </c>
      <c r="H128" t="inlineStr">
        <is>
          <t>N</t>
        </is>
      </c>
    </row>
    <row r="129">
      <c r="A129" t="inlineStr">
        <is>
          <t>2026-04-15</t>
        </is>
      </c>
      <c r="B129" t="inlineStr">
        <is>
          <t>WB-200000613</t>
        </is>
      </c>
      <c r="C129" t="inlineStr">
        <is>
          <t>ABC-CLN-042</t>
        </is>
      </c>
      <c r="D129" t="inlineStr">
        <is>
          <t>Средство для пола 1л</t>
        </is>
      </c>
      <c r="E129" t="n">
        <v>101</v>
      </c>
      <c r="F129" t="n">
        <v>380</v>
      </c>
      <c r="G129" t="inlineStr">
        <is>
          <t>Wallet</t>
        </is>
      </c>
      <c r="H129" t="inlineStr">
        <is>
          <t>N</t>
        </is>
      </c>
    </row>
    <row r="130">
      <c r="A130" t="inlineStr">
        <is>
          <t>2026-04-15</t>
        </is>
      </c>
      <c r="B130" t="inlineStr">
        <is>
          <t>WB-200002025</t>
        </is>
      </c>
      <c r="C130" t="inlineStr">
        <is>
          <t>ABC-LDR-034</t>
        </is>
      </c>
      <c r="D130" t="inlineStr">
        <is>
          <t>Детский гель для стирки 1.5л</t>
        </is>
      </c>
      <c r="E130" t="n">
        <v>198</v>
      </c>
      <c r="F130" t="n">
        <v>662</v>
      </c>
      <c r="G130" t="inlineStr">
        <is>
          <t>Ozon Pay</t>
        </is>
      </c>
      <c r="H130" t="inlineStr">
        <is>
          <t>N</t>
        </is>
      </c>
    </row>
    <row r="131">
      <c r="A131" t="inlineStr">
        <is>
          <t>2026-04-15</t>
        </is>
      </c>
      <c r="B131" t="inlineStr">
        <is>
          <t>WB-200003513</t>
        </is>
      </c>
      <c r="C131" t="inlineStr">
        <is>
          <t>ABC-LDR-027</t>
        </is>
      </c>
      <c r="D131" t="inlineStr">
        <is>
          <t>Кондиционер для белья 1л</t>
        </is>
      </c>
      <c r="E131" t="n">
        <v>158</v>
      </c>
      <c r="F131" t="n">
        <v>290</v>
      </c>
      <c r="G131" t="inlineStr">
        <is>
          <t>Wallet</t>
        </is>
      </c>
      <c r="H131" t="inlineStr">
        <is>
          <t>N</t>
        </is>
      </c>
    </row>
    <row r="132">
      <c r="A132" t="inlineStr">
        <is>
          <t>2026-04-15</t>
        </is>
      </c>
      <c r="B132" t="inlineStr">
        <is>
          <t>WB-200005180</t>
        </is>
      </c>
      <c r="C132" t="inlineStr">
        <is>
          <t>ABC-DSH-018</t>
        </is>
      </c>
      <c r="D132" t="inlineStr">
        <is>
          <t>Средство для посуды 500мл</t>
        </is>
      </c>
      <c r="E132" t="n">
        <v>257</v>
      </c>
      <c r="F132" t="n">
        <v>240</v>
      </c>
      <c r="G132" t="inlineStr">
        <is>
          <t>Карта</t>
        </is>
      </c>
      <c r="H132" t="inlineStr">
        <is>
          <t>N</t>
        </is>
      </c>
    </row>
    <row r="133">
      <c r="A133" t="inlineStr">
        <is>
          <t>2026-04-15</t>
        </is>
      </c>
      <c r="B133" t="inlineStr">
        <is>
          <t>WB-200006820</t>
        </is>
      </c>
      <c r="D133" t="inlineStr">
        <is>
          <t>Чистящий крем кухня 750 мл</t>
        </is>
      </c>
      <c r="E133" t="n">
        <v>230</v>
      </c>
      <c r="F133" t="n">
        <v>315</v>
      </c>
      <c r="G133" t="inlineStr">
        <is>
          <t>Карта</t>
        </is>
      </c>
      <c r="H133" t="inlineStr">
        <is>
          <t>N</t>
        </is>
      </c>
    </row>
    <row r="134">
      <c r="A134" t="inlineStr">
        <is>
          <t>2026-04-15</t>
        </is>
      </c>
      <c r="B134" t="inlineStr">
        <is>
          <t>WB-200007461</t>
        </is>
      </c>
      <c r="D134" t="inlineStr">
        <is>
          <t>Чистящий крем кухня 750 мл</t>
        </is>
      </c>
      <c r="E134" t="n">
        <v>-48</v>
      </c>
      <c r="F134" t="n">
        <v>350</v>
      </c>
      <c r="G134" t="inlineStr">
        <is>
          <t>Ozon Pay</t>
        </is>
      </c>
      <c r="H134" t="inlineStr">
        <is>
          <t>Y</t>
        </is>
      </c>
    </row>
    <row r="135">
      <c r="A135" t="inlineStr">
        <is>
          <t>2026-04-15</t>
        </is>
      </c>
      <c r="B135" t="inlineStr">
        <is>
          <t>WB-200008294</t>
        </is>
      </c>
      <c r="C135" t="inlineStr">
        <is>
          <t>WND-009</t>
        </is>
      </c>
      <c r="D135" t="inlineStr">
        <is>
          <t>Очиститель стёкол 500мл</t>
        </is>
      </c>
      <c r="E135" t="n">
        <v>192</v>
      </c>
      <c r="F135" t="n">
        <v>220</v>
      </c>
      <c r="G135" t="inlineStr">
        <is>
          <t>Карта</t>
        </is>
      </c>
      <c r="H135" t="inlineStr">
        <is>
          <t>N</t>
        </is>
      </c>
    </row>
    <row r="136">
      <c r="A136" t="inlineStr">
        <is>
          <t>2026-04-16</t>
        </is>
      </c>
      <c r="B136" t="inlineStr">
        <is>
          <t>WB-200000655</t>
        </is>
      </c>
      <c r="C136" t="inlineStr">
        <is>
          <t>ABC-CLN-042</t>
        </is>
      </c>
      <c r="D136" t="inlineStr">
        <is>
          <t>Средство для пола 1л</t>
        </is>
      </c>
      <c r="E136" t="n">
        <v>343</v>
      </c>
      <c r="F136" t="n">
        <v>380</v>
      </c>
      <c r="G136" t="inlineStr">
        <is>
          <t>Ozon Pay</t>
        </is>
      </c>
      <c r="H136" t="inlineStr">
        <is>
          <t>N</t>
        </is>
      </c>
    </row>
    <row r="137">
      <c r="A137" t="inlineStr">
        <is>
          <t>2026-04-16</t>
        </is>
      </c>
      <c r="B137" t="inlineStr">
        <is>
          <t>WB-200002059</t>
        </is>
      </c>
      <c r="C137" t="inlineStr">
        <is>
          <t>ABC-LDR-034</t>
        </is>
      </c>
      <c r="D137" t="inlineStr">
        <is>
          <t>Детский гель для стирки 1.5л</t>
        </is>
      </c>
      <c r="E137" t="n">
        <v>39</v>
      </c>
      <c r="F137" t="n">
        <v>662</v>
      </c>
      <c r="G137" t="inlineStr">
        <is>
          <t>Ozon Pay</t>
        </is>
      </c>
      <c r="H137" t="inlineStr">
        <is>
          <t>N</t>
        </is>
      </c>
    </row>
    <row r="138">
      <c r="A138" t="inlineStr">
        <is>
          <t>2026-04-16</t>
        </is>
      </c>
      <c r="B138" t="inlineStr">
        <is>
          <t>WB-200002097</t>
        </is>
      </c>
      <c r="C138" t="inlineStr">
        <is>
          <t>ABC-LDR-034</t>
        </is>
      </c>
      <c r="D138" t="inlineStr">
        <is>
          <t>Детский гель для стирки 1.5л</t>
        </is>
      </c>
      <c r="E138" t="n">
        <v>154</v>
      </c>
      <c r="F138" t="n">
        <v>662</v>
      </c>
      <c r="G138" t="inlineStr">
        <is>
          <t>Карта</t>
        </is>
      </c>
      <c r="H138" t="inlineStr">
        <is>
          <t>N</t>
        </is>
      </c>
    </row>
    <row r="139">
      <c r="A139" t="inlineStr">
        <is>
          <t>2026-04-16</t>
        </is>
      </c>
      <c r="B139" t="inlineStr">
        <is>
          <t>WB-200003537</t>
        </is>
      </c>
      <c r="C139" t="inlineStr">
        <is>
          <t>ABC-LDR-027</t>
        </is>
      </c>
      <c r="D139" t="inlineStr">
        <is>
          <t>Кондиционер для белья 1л</t>
        </is>
      </c>
      <c r="E139" t="n">
        <v>62</v>
      </c>
      <c r="F139" t="n">
        <v>290</v>
      </c>
      <c r="G139" t="inlineStr">
        <is>
          <t>Ozon Pay</t>
        </is>
      </c>
      <c r="H139" t="inlineStr">
        <is>
          <t>N</t>
        </is>
      </c>
    </row>
    <row r="140">
      <c r="A140" t="inlineStr">
        <is>
          <t>2026-04-16</t>
        </is>
      </c>
      <c r="B140" t="inlineStr">
        <is>
          <t>WB-200003582</t>
        </is>
      </c>
      <c r="C140" t="inlineStr">
        <is>
          <t>ABC-LDR-027</t>
        </is>
      </c>
      <c r="D140" t="inlineStr">
        <is>
          <t>Кондиционер для белья 1л</t>
        </is>
      </c>
      <c r="E140" t="n">
        <v>102</v>
      </c>
      <c r="F140" t="n">
        <v>290</v>
      </c>
      <c r="G140" t="inlineStr">
        <is>
          <t>Wallet</t>
        </is>
      </c>
      <c r="H140" t="inlineStr">
        <is>
          <t>N</t>
        </is>
      </c>
    </row>
    <row r="141">
      <c r="A141" t="inlineStr">
        <is>
          <t>2026-04-16</t>
        </is>
      </c>
      <c r="B141" t="inlineStr">
        <is>
          <t>WB-200005227</t>
        </is>
      </c>
      <c r="C141" t="inlineStr">
        <is>
          <t>ABC-DSH-018</t>
        </is>
      </c>
      <c r="D141" t="inlineStr">
        <is>
          <t>Средство для посуды 500мл</t>
        </is>
      </c>
      <c r="E141" t="n">
        <v>77</v>
      </c>
      <c r="F141" t="n">
        <v>240</v>
      </c>
      <c r="G141" t="inlineStr">
        <is>
          <t>Wallet</t>
        </is>
      </c>
      <c r="H141" t="inlineStr">
        <is>
          <t>N</t>
        </is>
      </c>
    </row>
    <row r="142">
      <c r="A142" t="inlineStr">
        <is>
          <t>2026-04-16</t>
        </is>
      </c>
      <c r="B142" t="inlineStr">
        <is>
          <t>WB-200005248</t>
        </is>
      </c>
      <c r="C142" t="inlineStr">
        <is>
          <t>ABC-DSH-018</t>
        </is>
      </c>
      <c r="D142" t="inlineStr">
        <is>
          <t>Средство для посуды 500мл</t>
        </is>
      </c>
      <c r="E142" t="n">
        <v>186</v>
      </c>
      <c r="F142" t="n">
        <v>240</v>
      </c>
      <c r="G142" t="inlineStr">
        <is>
          <t>Карта</t>
        </is>
      </c>
      <c r="H142" t="inlineStr">
        <is>
          <t>N</t>
        </is>
      </c>
    </row>
    <row r="143">
      <c r="A143" t="inlineStr">
        <is>
          <t>2026-04-16</t>
        </is>
      </c>
      <c r="B143" t="inlineStr">
        <is>
          <t>WB-200005961</t>
        </is>
      </c>
      <c r="C143" t="inlineStr">
        <is>
          <t>ABC-DSH-018</t>
        </is>
      </c>
      <c r="D143" t="inlineStr">
        <is>
          <t>Средство для посуды 500мл</t>
        </is>
      </c>
      <c r="E143" t="n">
        <v>-80</v>
      </c>
      <c r="F143" t="n">
        <v>216</v>
      </c>
      <c r="G143" t="inlineStr">
        <is>
          <t>Wallet</t>
        </is>
      </c>
      <c r="H143" t="inlineStr">
        <is>
          <t>Y</t>
        </is>
      </c>
    </row>
    <row r="144">
      <c r="A144" t="inlineStr">
        <is>
          <t>2026-04-16</t>
        </is>
      </c>
      <c r="B144" t="inlineStr">
        <is>
          <t>WB-200005994</t>
        </is>
      </c>
      <c r="C144" t="inlineStr">
        <is>
          <t>ABC-DSH-018</t>
        </is>
      </c>
      <c r="D144" t="inlineStr">
        <is>
          <t>Средство для посуды 500мл</t>
        </is>
      </c>
      <c r="E144" t="n">
        <v>-80</v>
      </c>
      <c r="F144" t="n">
        <v>240</v>
      </c>
      <c r="G144" t="inlineStr">
        <is>
          <t>Wallet</t>
        </is>
      </c>
      <c r="H144" t="inlineStr">
        <is>
          <t>Y</t>
        </is>
      </c>
    </row>
    <row r="145">
      <c r="A145" t="inlineStr">
        <is>
          <t>2026-04-16</t>
        </is>
      </c>
      <c r="B145" t="inlineStr">
        <is>
          <t>WB-200006835</t>
        </is>
      </c>
      <c r="D145" t="inlineStr">
        <is>
          <t>Чистящий крем кухня 750 мл</t>
        </is>
      </c>
      <c r="E145" t="n">
        <v>218</v>
      </c>
      <c r="F145" t="n">
        <v>315</v>
      </c>
      <c r="G145" t="inlineStr">
        <is>
          <t>Wallet</t>
        </is>
      </c>
      <c r="H145" t="inlineStr">
        <is>
          <t>N</t>
        </is>
      </c>
    </row>
    <row r="146">
      <c r="A146" t="inlineStr">
        <is>
          <t>2026-04-16</t>
        </is>
      </c>
      <c r="B146" t="inlineStr">
        <is>
          <t>WB-200008341</t>
        </is>
      </c>
      <c r="C146" t="inlineStr">
        <is>
          <t>WND-009</t>
        </is>
      </c>
      <c r="D146" t="inlineStr">
        <is>
          <t>Очиститель стёкол 500мл</t>
        </is>
      </c>
      <c r="E146" t="n">
        <v>194</v>
      </c>
      <c r="F146" t="n">
        <v>220</v>
      </c>
      <c r="G146" t="inlineStr">
        <is>
          <t>Wallet</t>
        </is>
      </c>
      <c r="H146" t="inlineStr">
        <is>
          <t>N</t>
        </is>
      </c>
    </row>
    <row r="147">
      <c r="A147" t="inlineStr">
        <is>
          <t>2026-04-17</t>
        </is>
      </c>
      <c r="B147" t="inlineStr">
        <is>
          <t>WB-200000692</t>
        </is>
      </c>
      <c r="C147" t="inlineStr">
        <is>
          <t>ABC-CLN-042</t>
        </is>
      </c>
      <c r="D147" t="inlineStr">
        <is>
          <t>Средство для пола 1л</t>
        </is>
      </c>
      <c r="E147" t="n">
        <v>343</v>
      </c>
      <c r="F147" t="n">
        <v>380</v>
      </c>
      <c r="G147" t="inlineStr">
        <is>
          <t>Ozon Pay</t>
        </is>
      </c>
      <c r="H147" t="inlineStr">
        <is>
          <t>N</t>
        </is>
      </c>
    </row>
    <row r="148">
      <c r="A148" t="inlineStr">
        <is>
          <t>2026-04-17</t>
        </is>
      </c>
      <c r="B148" t="inlineStr">
        <is>
          <t>WB-200002111</t>
        </is>
      </c>
      <c r="C148" t="inlineStr">
        <is>
          <t>ABC-LDR-034</t>
        </is>
      </c>
      <c r="D148" t="inlineStr">
        <is>
          <t>Детский гель для стирки 1.5л</t>
        </is>
      </c>
      <c r="E148" t="n">
        <v>57</v>
      </c>
      <c r="F148" t="n">
        <v>662</v>
      </c>
      <c r="G148" t="inlineStr">
        <is>
          <t>Wallet</t>
        </is>
      </c>
      <c r="H148" t="inlineStr">
        <is>
          <t>N</t>
        </is>
      </c>
    </row>
    <row r="149">
      <c r="A149" t="inlineStr">
        <is>
          <t>2026-04-17</t>
        </is>
      </c>
      <c r="B149" t="inlineStr">
        <is>
          <t>WB-200002137</t>
        </is>
      </c>
      <c r="C149" t="inlineStr">
        <is>
          <t>ABC-LDR-034</t>
        </is>
      </c>
      <c r="D149" t="inlineStr">
        <is>
          <t>Детский гель для стирки 1.5л</t>
        </is>
      </c>
      <c r="E149" t="n">
        <v>136</v>
      </c>
      <c r="F149" t="n">
        <v>662</v>
      </c>
      <c r="G149" t="inlineStr">
        <is>
          <t>Карта</t>
        </is>
      </c>
      <c r="H149" t="inlineStr">
        <is>
          <t>N</t>
        </is>
      </c>
    </row>
    <row r="150">
      <c r="A150" t="inlineStr">
        <is>
          <t>2026-04-17</t>
        </is>
      </c>
      <c r="B150" t="inlineStr">
        <is>
          <t>WB-200003598</t>
        </is>
      </c>
      <c r="C150" t="inlineStr">
        <is>
          <t>ABC-LDR-027</t>
        </is>
      </c>
      <c r="D150" t="inlineStr">
        <is>
          <t>Кондиционер для белья 1л</t>
        </is>
      </c>
      <c r="E150" t="n">
        <v>103</v>
      </c>
      <c r="F150" t="n">
        <v>290</v>
      </c>
      <c r="G150" t="inlineStr">
        <is>
          <t>Wallet</t>
        </is>
      </c>
      <c r="H150" t="inlineStr">
        <is>
          <t>N</t>
        </is>
      </c>
    </row>
    <row r="151">
      <c r="A151" t="inlineStr">
        <is>
          <t>2026-04-17</t>
        </is>
      </c>
      <c r="B151" t="inlineStr">
        <is>
          <t>WB-200003630</t>
        </is>
      </c>
      <c r="C151" t="inlineStr">
        <is>
          <t>ABC-LDR-027</t>
        </is>
      </c>
      <c r="D151" t="inlineStr">
        <is>
          <t>Кондиционер для белья 1л</t>
        </is>
      </c>
      <c r="E151" t="n">
        <v>61</v>
      </c>
      <c r="F151" t="n">
        <v>290</v>
      </c>
      <c r="G151" t="inlineStr">
        <is>
          <t>Ozon Pay</t>
        </is>
      </c>
      <c r="H151" t="inlineStr">
        <is>
          <t>N</t>
        </is>
      </c>
    </row>
    <row r="152">
      <c r="A152" t="inlineStr">
        <is>
          <t>2026-04-17</t>
        </is>
      </c>
      <c r="B152" t="inlineStr">
        <is>
          <t>WB-200005268</t>
        </is>
      </c>
      <c r="C152" t="inlineStr">
        <is>
          <t>ABC-DSH-018</t>
        </is>
      </c>
      <c r="D152" t="inlineStr">
        <is>
          <t>Средство для посуды 500мл</t>
        </is>
      </c>
      <c r="E152" t="n">
        <v>77</v>
      </c>
      <c r="F152" t="n">
        <v>240</v>
      </c>
      <c r="G152" t="inlineStr">
        <is>
          <t>Wallet</t>
        </is>
      </c>
      <c r="H152" t="inlineStr">
        <is>
          <t>N</t>
        </is>
      </c>
    </row>
    <row r="153">
      <c r="A153" t="inlineStr">
        <is>
          <t>2026-04-17</t>
        </is>
      </c>
      <c r="B153" t="inlineStr">
        <is>
          <t>WB-200005310</t>
        </is>
      </c>
      <c r="C153" t="inlineStr">
        <is>
          <t>ABC-DSH-018</t>
        </is>
      </c>
      <c r="D153" t="inlineStr">
        <is>
          <t>Средство для посуды 500мл</t>
        </is>
      </c>
      <c r="E153" t="n">
        <v>186</v>
      </c>
      <c r="F153" t="n">
        <v>240</v>
      </c>
      <c r="G153" t="inlineStr">
        <is>
          <t>Карта</t>
        </is>
      </c>
      <c r="H153" t="inlineStr">
        <is>
          <t>N</t>
        </is>
      </c>
    </row>
    <row r="154">
      <c r="A154" t="inlineStr">
        <is>
          <t>2026-04-17</t>
        </is>
      </c>
      <c r="B154" t="inlineStr">
        <is>
          <t>WB-200006852</t>
        </is>
      </c>
      <c r="D154" t="inlineStr">
        <is>
          <t>Чистящий крем кухня 750 мл</t>
        </is>
      </c>
      <c r="E154" t="n">
        <v>44</v>
      </c>
      <c r="F154" t="n">
        <v>315</v>
      </c>
      <c r="G154" t="inlineStr">
        <is>
          <t>Ozon Pay</t>
        </is>
      </c>
      <c r="H154" t="inlineStr">
        <is>
          <t>N</t>
        </is>
      </c>
    </row>
    <row r="155">
      <c r="A155" t="inlineStr">
        <is>
          <t>2026-04-17</t>
        </is>
      </c>
      <c r="B155" t="inlineStr">
        <is>
          <t>WB-200006868</t>
        </is>
      </c>
      <c r="D155" t="inlineStr">
        <is>
          <t>Чистящий крем кухня 750 мл</t>
        </is>
      </c>
      <c r="E155" t="n">
        <v>174</v>
      </c>
      <c r="F155" t="n">
        <v>315</v>
      </c>
      <c r="G155" t="inlineStr">
        <is>
          <t>Карта</t>
        </is>
      </c>
      <c r="H155" t="inlineStr">
        <is>
          <t>N</t>
        </is>
      </c>
    </row>
    <row r="156">
      <c r="A156" t="inlineStr">
        <is>
          <t>2026-04-17</t>
        </is>
      </c>
      <c r="B156" t="inlineStr">
        <is>
          <t>WB-200008381</t>
        </is>
      </c>
      <c r="C156" t="inlineStr">
        <is>
          <t>WND-009</t>
        </is>
      </c>
      <c r="D156" t="inlineStr">
        <is>
          <t>Очиститель стёкол 500мл</t>
        </is>
      </c>
      <c r="E156" t="n">
        <v>39</v>
      </c>
      <c r="F156" t="n">
        <v>220</v>
      </c>
      <c r="G156" t="inlineStr">
        <is>
          <t>Ozon Pay</t>
        </is>
      </c>
      <c r="H156" t="inlineStr">
        <is>
          <t>N</t>
        </is>
      </c>
    </row>
    <row r="157">
      <c r="A157" t="inlineStr">
        <is>
          <t>2026-04-17</t>
        </is>
      </c>
      <c r="B157" t="inlineStr">
        <is>
          <t>WB-200008416</t>
        </is>
      </c>
      <c r="C157" t="inlineStr">
        <is>
          <t>WND-009</t>
        </is>
      </c>
      <c r="D157" t="inlineStr">
        <is>
          <t>Очиститель стёкол 500мл</t>
        </is>
      </c>
      <c r="E157" t="n">
        <v>155</v>
      </c>
      <c r="F157" t="n">
        <v>220</v>
      </c>
      <c r="G157" t="inlineStr">
        <is>
          <t>Карта</t>
        </is>
      </c>
      <c r="H157" t="inlineStr">
        <is>
          <t>N</t>
        </is>
      </c>
    </row>
    <row r="158">
      <c r="A158" t="inlineStr">
        <is>
          <t>2026-04-17</t>
        </is>
      </c>
      <c r="B158" t="inlineStr">
        <is>
          <t>WB-200009012</t>
        </is>
      </c>
      <c r="C158" t="inlineStr">
        <is>
          <t>WND-009</t>
        </is>
      </c>
      <c r="D158" t="inlineStr">
        <is>
          <t>Очиститель стёкол 500мл</t>
        </is>
      </c>
      <c r="E158" t="n">
        <v>-128</v>
      </c>
      <c r="F158" t="n">
        <v>220</v>
      </c>
      <c r="G158" t="inlineStr">
        <is>
          <t>Ozon Pay</t>
        </is>
      </c>
      <c r="H158" t="inlineStr">
        <is>
          <t>Y</t>
        </is>
      </c>
    </row>
    <row r="159">
      <c r="A159" t="inlineStr">
        <is>
          <t>2026-04-18</t>
        </is>
      </c>
      <c r="B159" t="inlineStr">
        <is>
          <t>WB-200000706</t>
        </is>
      </c>
      <c r="C159" t="inlineStr">
        <is>
          <t>ABC-CLN-042</t>
        </is>
      </c>
      <c r="D159" t="inlineStr">
        <is>
          <t>Средство для пола 1л</t>
        </is>
      </c>
      <c r="E159" t="n">
        <v>343</v>
      </c>
      <c r="F159" t="n">
        <v>380</v>
      </c>
      <c r="G159" t="inlineStr">
        <is>
          <t>Ozon Pay</t>
        </is>
      </c>
      <c r="H159" t="inlineStr">
        <is>
          <t>N</t>
        </is>
      </c>
    </row>
    <row r="160">
      <c r="A160" t="inlineStr">
        <is>
          <t>2026-04-18</t>
        </is>
      </c>
      <c r="B160" t="inlineStr">
        <is>
          <t>WB-200001307</t>
        </is>
      </c>
      <c r="C160" t="inlineStr">
        <is>
          <t>ABC-CLN-042</t>
        </is>
      </c>
      <c r="D160" t="inlineStr">
        <is>
          <t>Средство для пола 1л</t>
        </is>
      </c>
      <c r="E160" t="n">
        <v>-102</v>
      </c>
      <c r="F160" t="n">
        <v>380</v>
      </c>
      <c r="G160" t="inlineStr">
        <is>
          <t>Wallet</t>
        </is>
      </c>
      <c r="H160" t="inlineStr">
        <is>
          <t>Y</t>
        </is>
      </c>
    </row>
    <row r="161">
      <c r="A161" t="inlineStr">
        <is>
          <t>2026-04-18</t>
        </is>
      </c>
      <c r="B161" t="inlineStr">
        <is>
          <t>WB-200002184</t>
        </is>
      </c>
      <c r="C161" t="inlineStr">
        <is>
          <t>ABC-LDR-034</t>
        </is>
      </c>
      <c r="D161" t="inlineStr">
        <is>
          <t>Детский гель для стирки 1.5л</t>
        </is>
      </c>
      <c r="E161" t="n">
        <v>193</v>
      </c>
      <c r="F161" t="n">
        <v>662</v>
      </c>
      <c r="G161" t="inlineStr">
        <is>
          <t>Карта</t>
        </is>
      </c>
      <c r="H161" t="inlineStr">
        <is>
          <t>N</t>
        </is>
      </c>
    </row>
    <row r="162">
      <c r="A162" t="inlineStr">
        <is>
          <t>2026-04-18</t>
        </is>
      </c>
      <c r="B162" t="inlineStr">
        <is>
          <t>WB-200003672</t>
        </is>
      </c>
      <c r="C162" t="inlineStr">
        <is>
          <t>ABC-LDR-027</t>
        </is>
      </c>
      <c r="D162" t="inlineStr">
        <is>
          <t>Кондиционер для белья 1л</t>
        </is>
      </c>
      <c r="E162" t="n">
        <v>164</v>
      </c>
      <c r="F162" t="n">
        <v>290</v>
      </c>
      <c r="G162" t="inlineStr">
        <is>
          <t>Wallet</t>
        </is>
      </c>
      <c r="H162" t="inlineStr">
        <is>
          <t>N</t>
        </is>
      </c>
    </row>
    <row r="163">
      <c r="A163" t="inlineStr">
        <is>
          <t>2026-04-18</t>
        </is>
      </c>
      <c r="B163" t="inlineStr">
        <is>
          <t>WB-200005340</t>
        </is>
      </c>
      <c r="C163" t="inlineStr">
        <is>
          <t>ABC-DSH-018</t>
        </is>
      </c>
      <c r="D163" t="inlineStr">
        <is>
          <t>Средство для посуды 500мл</t>
        </is>
      </c>
      <c r="E163" t="n">
        <v>53</v>
      </c>
      <c r="F163" t="n">
        <v>240</v>
      </c>
      <c r="G163" t="inlineStr">
        <is>
          <t>Ozon Pay</t>
        </is>
      </c>
      <c r="H163" t="inlineStr">
        <is>
          <t>N</t>
        </is>
      </c>
    </row>
    <row r="164">
      <c r="A164" t="inlineStr">
        <is>
          <t>2026-04-18</t>
        </is>
      </c>
      <c r="B164" t="inlineStr">
        <is>
          <t>WB-200005387</t>
        </is>
      </c>
      <c r="C164" t="inlineStr">
        <is>
          <t>ABC-DSH-018</t>
        </is>
      </c>
      <c r="D164" t="inlineStr">
        <is>
          <t>Средство для посуды 500мл</t>
        </is>
      </c>
      <c r="E164" t="n">
        <v>210</v>
      </c>
      <c r="F164" t="n">
        <v>240</v>
      </c>
      <c r="G164" t="inlineStr">
        <is>
          <t>Карта</t>
        </is>
      </c>
      <c r="H164" t="inlineStr">
        <is>
          <t>N</t>
        </is>
      </c>
    </row>
    <row r="165">
      <c r="A165" t="inlineStr">
        <is>
          <t>2026-04-18</t>
        </is>
      </c>
      <c r="B165" t="inlineStr">
        <is>
          <t>WB-200006882</t>
        </is>
      </c>
      <c r="D165" t="inlineStr">
        <is>
          <t>Чистящий крем кухня 750 мл</t>
        </is>
      </c>
      <c r="E165" t="n">
        <v>218</v>
      </c>
      <c r="F165" t="n">
        <v>315</v>
      </c>
      <c r="G165" t="inlineStr">
        <is>
          <t>Карта</t>
        </is>
      </c>
      <c r="H165" t="inlineStr">
        <is>
          <t>N</t>
        </is>
      </c>
    </row>
    <row r="166">
      <c r="A166" t="inlineStr">
        <is>
          <t>2026-04-18</t>
        </is>
      </c>
      <c r="B166" t="inlineStr">
        <is>
          <t>WB-200008460</t>
        </is>
      </c>
      <c r="C166" t="inlineStr">
        <is>
          <t>WND-009</t>
        </is>
      </c>
      <c r="D166" t="inlineStr">
        <is>
          <t>Очиститель стёкол 500мл</t>
        </is>
      </c>
      <c r="E166" t="n">
        <v>155</v>
      </c>
      <c r="F166" t="n">
        <v>220</v>
      </c>
      <c r="G166" t="inlineStr">
        <is>
          <t>Карта</t>
        </is>
      </c>
      <c r="H166" t="inlineStr">
        <is>
          <t>N</t>
        </is>
      </c>
    </row>
    <row r="167">
      <c r="A167" t="inlineStr">
        <is>
          <t>2026-04-18</t>
        </is>
      </c>
      <c r="B167" t="inlineStr">
        <is>
          <t>WB-200008480</t>
        </is>
      </c>
      <c r="C167" t="inlineStr">
        <is>
          <t>WND-009</t>
        </is>
      </c>
      <c r="D167" t="inlineStr">
        <is>
          <t>Очиститель стёкол 500мл</t>
        </is>
      </c>
      <c r="E167" t="n">
        <v>39</v>
      </c>
      <c r="F167" t="n">
        <v>220</v>
      </c>
      <c r="G167" t="inlineStr">
        <is>
          <t>Ozon Pay</t>
        </is>
      </c>
      <c r="H167" t="inlineStr">
        <is>
          <t>N</t>
        </is>
      </c>
    </row>
    <row r="168">
      <c r="A168" t="inlineStr">
        <is>
          <t>2026-04-19</t>
        </is>
      </c>
      <c r="B168" t="inlineStr">
        <is>
          <t>WB-200000729</t>
        </is>
      </c>
      <c r="C168" t="inlineStr">
        <is>
          <t>ABC-CLN-042</t>
        </is>
      </c>
      <c r="D168" t="inlineStr">
        <is>
          <t>Средство для пола 1л</t>
        </is>
      </c>
      <c r="E168" t="n">
        <v>214</v>
      </c>
      <c r="F168" t="n">
        <v>380</v>
      </c>
      <c r="G168" t="inlineStr">
        <is>
          <t>Wallet</t>
        </is>
      </c>
      <c r="H168" t="inlineStr">
        <is>
          <t>N</t>
        </is>
      </c>
    </row>
    <row r="169">
      <c r="A169" t="inlineStr">
        <is>
          <t>2026-04-19</t>
        </is>
      </c>
      <c r="B169" t="inlineStr">
        <is>
          <t>WB-200000753</t>
        </is>
      </c>
      <c r="C169" t="inlineStr">
        <is>
          <t>ABC-CLN-042</t>
        </is>
      </c>
      <c r="D169" t="inlineStr">
        <is>
          <t>Средство для пола 1л</t>
        </is>
      </c>
      <c r="E169" t="n">
        <v>129</v>
      </c>
      <c r="F169" t="n">
        <v>380</v>
      </c>
      <c r="G169" t="inlineStr">
        <is>
          <t>Ozon Pay</t>
        </is>
      </c>
      <c r="H169" t="inlineStr">
        <is>
          <t>N</t>
        </is>
      </c>
    </row>
    <row r="170">
      <c r="A170" t="inlineStr">
        <is>
          <t>2026-04-19</t>
        </is>
      </c>
      <c r="B170" t="inlineStr">
        <is>
          <t>WB-200002200</t>
        </is>
      </c>
      <c r="C170" t="inlineStr">
        <is>
          <t>ABC-LDR-034</t>
        </is>
      </c>
      <c r="D170" t="inlineStr">
        <is>
          <t>Детский гель для стирки 1.5л</t>
        </is>
      </c>
      <c r="E170" t="n">
        <v>128</v>
      </c>
      <c r="F170" t="n">
        <v>720</v>
      </c>
      <c r="G170" t="inlineStr">
        <is>
          <t>Wallet</t>
        </is>
      </c>
      <c r="H170" t="inlineStr">
        <is>
          <t>N</t>
        </is>
      </c>
    </row>
    <row r="171">
      <c r="A171" t="inlineStr">
        <is>
          <t>2026-04-19</t>
        </is>
      </c>
      <c r="B171" t="inlineStr">
        <is>
          <t>WB-200003695</t>
        </is>
      </c>
      <c r="C171" t="inlineStr">
        <is>
          <t>ABC-LDR-027</t>
        </is>
      </c>
      <c r="D171" t="inlineStr">
        <is>
          <t>Кондиционер для белья 1л</t>
        </is>
      </c>
      <c r="E171" t="n">
        <v>33</v>
      </c>
      <c r="F171" t="n">
        <v>290</v>
      </c>
      <c r="G171" t="inlineStr">
        <is>
          <t>Ozon Pay</t>
        </is>
      </c>
      <c r="H171" t="inlineStr">
        <is>
          <t>N</t>
        </is>
      </c>
    </row>
    <row r="172">
      <c r="A172" t="inlineStr">
        <is>
          <t>2026-04-19</t>
        </is>
      </c>
      <c r="B172" t="inlineStr">
        <is>
          <t>WB-200003737</t>
        </is>
      </c>
      <c r="C172" t="inlineStr">
        <is>
          <t>ABC-LDR-027</t>
        </is>
      </c>
      <c r="D172" t="inlineStr">
        <is>
          <t>Кондиционер для белья 1л</t>
        </is>
      </c>
      <c r="E172" t="n">
        <v>131</v>
      </c>
      <c r="F172" t="n">
        <v>290</v>
      </c>
      <c r="G172" t="inlineStr">
        <is>
          <t>Карта</t>
        </is>
      </c>
      <c r="H172" t="inlineStr">
        <is>
          <t>N</t>
        </is>
      </c>
    </row>
    <row r="173">
      <c r="A173" t="inlineStr">
        <is>
          <t>2026-04-19</t>
        </is>
      </c>
      <c r="B173" t="inlineStr">
        <is>
          <t>WB-200004347</t>
        </is>
      </c>
      <c r="C173" t="inlineStr">
        <is>
          <t>ABC-LDR-027</t>
        </is>
      </c>
      <c r="D173" t="inlineStr">
        <is>
          <t>Кондиционер для белья 1л</t>
        </is>
      </c>
      <c r="E173" t="n">
        <v>-38</v>
      </c>
      <c r="F173" t="n">
        <v>290</v>
      </c>
      <c r="G173" t="inlineStr">
        <is>
          <t>Карта</t>
        </is>
      </c>
      <c r="H173" t="inlineStr">
        <is>
          <t>Y</t>
        </is>
      </c>
    </row>
    <row r="174">
      <c r="A174" t="inlineStr">
        <is>
          <t>2026-04-19</t>
        </is>
      </c>
      <c r="B174" t="inlineStr">
        <is>
          <t>WB-200005421</t>
        </is>
      </c>
      <c r="C174" t="inlineStr">
        <is>
          <t>ABC-DSH-018</t>
        </is>
      </c>
      <c r="D174" t="inlineStr">
        <is>
          <t>Средство для посуды 500мл</t>
        </is>
      </c>
      <c r="E174" t="n">
        <v>263</v>
      </c>
      <c r="F174" t="n">
        <v>240</v>
      </c>
      <c r="G174" t="inlineStr">
        <is>
          <t>Карта</t>
        </is>
      </c>
      <c r="H174" t="inlineStr">
        <is>
          <t>N</t>
        </is>
      </c>
    </row>
    <row r="175">
      <c r="A175" t="inlineStr">
        <is>
          <t>2026-04-19</t>
        </is>
      </c>
      <c r="B175" t="inlineStr">
        <is>
          <t>WB-200006927</t>
        </is>
      </c>
      <c r="D175" t="inlineStr">
        <is>
          <t>Чистящий крем кухня 750 мл</t>
        </is>
      </c>
      <c r="E175" t="n">
        <v>218</v>
      </c>
      <c r="F175" t="n">
        <v>315</v>
      </c>
      <c r="G175" t="inlineStr">
        <is>
          <t>Wallet</t>
        </is>
      </c>
      <c r="H175" t="inlineStr">
        <is>
          <t>N</t>
        </is>
      </c>
    </row>
    <row r="176">
      <c r="A176" t="inlineStr">
        <is>
          <t>2026-04-19</t>
        </is>
      </c>
      <c r="B176" t="inlineStr">
        <is>
          <t>WB-200008506</t>
        </is>
      </c>
      <c r="C176" t="inlineStr">
        <is>
          <t>WND-009</t>
        </is>
      </c>
      <c r="D176" t="inlineStr">
        <is>
          <t>Очиститель стёкол 500мл</t>
        </is>
      </c>
      <c r="E176" t="n">
        <v>194</v>
      </c>
      <c r="F176" t="n">
        <v>220</v>
      </c>
      <c r="G176" t="inlineStr">
        <is>
          <t>Карта</t>
        </is>
      </c>
      <c r="H176" t="inlineStr">
        <is>
          <t>N</t>
        </is>
      </c>
    </row>
    <row r="177">
      <c r="A177" t="inlineStr">
        <is>
          <t>2026-04-20</t>
        </is>
      </c>
      <c r="B177" t="inlineStr">
        <is>
          <t>WB-200000783</t>
        </is>
      </c>
      <c r="C177" t="inlineStr">
        <is>
          <t>ABC-CLN-042</t>
        </is>
      </c>
      <c r="D177" t="inlineStr">
        <is>
          <t>Средство для пола 1л</t>
        </is>
      </c>
      <c r="E177" t="n">
        <v>343</v>
      </c>
      <c r="F177" t="n">
        <v>380</v>
      </c>
      <c r="G177" t="inlineStr">
        <is>
          <t>Ozon Pay</t>
        </is>
      </c>
      <c r="H177" t="inlineStr">
        <is>
          <t>N</t>
        </is>
      </c>
    </row>
    <row r="178">
      <c r="A178" t="inlineStr">
        <is>
          <t>2026-04-20</t>
        </is>
      </c>
      <c r="B178" t="inlineStr">
        <is>
          <t>WB-200002234</t>
        </is>
      </c>
      <c r="C178" t="inlineStr">
        <is>
          <t>ABC-LDR-034</t>
        </is>
      </c>
      <c r="D178" t="inlineStr">
        <is>
          <t>Детский гель для стирки 1.5л</t>
        </is>
      </c>
      <c r="E178" t="n">
        <v>48</v>
      </c>
      <c r="F178" t="n">
        <v>720</v>
      </c>
      <c r="G178" t="inlineStr">
        <is>
          <t>Ozon Pay</t>
        </is>
      </c>
      <c r="H178" t="inlineStr">
        <is>
          <t>N</t>
        </is>
      </c>
    </row>
    <row r="179">
      <c r="A179" t="inlineStr">
        <is>
          <t>2026-04-20</t>
        </is>
      </c>
      <c r="B179" t="inlineStr">
        <is>
          <t>WB-200002275</t>
        </is>
      </c>
      <c r="C179" t="inlineStr">
        <is>
          <t>ABC-LDR-034</t>
        </is>
      </c>
      <c r="D179" t="inlineStr">
        <is>
          <t>Детский гель для стирки 1.5л</t>
        </is>
      </c>
      <c r="E179" t="n">
        <v>80</v>
      </c>
      <c r="F179" t="n">
        <v>720</v>
      </c>
      <c r="G179" t="inlineStr">
        <is>
          <t>Wallet</t>
        </is>
      </c>
      <c r="H179" t="inlineStr">
        <is>
          <t>N</t>
        </is>
      </c>
    </row>
    <row r="180">
      <c r="A180" t="inlineStr">
        <is>
          <t>2026-04-20</t>
        </is>
      </c>
      <c r="B180" t="inlineStr">
        <is>
          <t>WB-200002889</t>
        </is>
      </c>
      <c r="C180" t="inlineStr">
        <is>
          <t>ABC-LDR-034</t>
        </is>
      </c>
      <c r="D180" t="inlineStr">
        <is>
          <t>Детский гель для стирки 1.5л</t>
        </is>
      </c>
      <c r="E180" t="n">
        <v>-101</v>
      </c>
      <c r="F180" t="n">
        <v>662</v>
      </c>
      <c r="G180" t="inlineStr">
        <is>
          <t>Карта</t>
        </is>
      </c>
      <c r="H180" t="inlineStr">
        <is>
          <t>Y</t>
        </is>
      </c>
    </row>
    <row r="181">
      <c r="A181" t="inlineStr">
        <is>
          <t>2026-04-20</t>
        </is>
      </c>
      <c r="B181" t="inlineStr">
        <is>
          <t>WB-200003762</t>
        </is>
      </c>
      <c r="C181" t="inlineStr">
        <is>
          <t>ABC-LDR-027</t>
        </is>
      </c>
      <c r="D181" t="inlineStr">
        <is>
          <t>Кондиционер для белья 1л</t>
        </is>
      </c>
      <c r="E181" t="n">
        <v>153</v>
      </c>
      <c r="F181" t="n">
        <v>261</v>
      </c>
      <c r="G181" t="inlineStr">
        <is>
          <t>Wallet</t>
        </is>
      </c>
      <c r="H181" t="inlineStr">
        <is>
          <t>N</t>
        </is>
      </c>
    </row>
    <row r="182">
      <c r="A182" t="inlineStr">
        <is>
          <t>2026-04-20</t>
        </is>
      </c>
      <c r="B182" t="inlineStr">
        <is>
          <t>WB-200003796</t>
        </is>
      </c>
      <c r="C182" t="inlineStr">
        <is>
          <t>ABC-LDR-027</t>
        </is>
      </c>
      <c r="D182" t="inlineStr">
        <is>
          <t>Кондиционер для белья 1л</t>
        </is>
      </c>
      <c r="E182" t="n">
        <v>92</v>
      </c>
      <c r="F182" t="n">
        <v>261</v>
      </c>
      <c r="G182" t="inlineStr">
        <is>
          <t>Ozon Pay</t>
        </is>
      </c>
      <c r="H182" t="inlineStr">
        <is>
          <t>N</t>
        </is>
      </c>
    </row>
    <row r="183">
      <c r="A183" t="inlineStr">
        <is>
          <t>2026-04-20</t>
        </is>
      </c>
      <c r="B183" t="inlineStr">
        <is>
          <t>WB-200005443</t>
        </is>
      </c>
      <c r="C183" t="inlineStr">
        <is>
          <t>ABC-DSH-018</t>
        </is>
      </c>
      <c r="D183" t="inlineStr">
        <is>
          <t>Средство для посуды 500мл</t>
        </is>
      </c>
      <c r="E183" t="n">
        <v>263</v>
      </c>
      <c r="F183" t="n">
        <v>240</v>
      </c>
      <c r="G183" t="inlineStr">
        <is>
          <t>Карта</t>
        </is>
      </c>
      <c r="H183" t="inlineStr">
        <is>
          <t>N</t>
        </is>
      </c>
    </row>
    <row r="184">
      <c r="A184" t="inlineStr">
        <is>
          <t>2026-04-20</t>
        </is>
      </c>
      <c r="B184" t="inlineStr">
        <is>
          <t>WB-200006952</t>
        </is>
      </c>
      <c r="D184" t="inlineStr">
        <is>
          <t>Чистящий крем кухня 750 мл</t>
        </is>
      </c>
      <c r="E184" t="n">
        <v>218</v>
      </c>
      <c r="F184" t="n">
        <v>315</v>
      </c>
      <c r="G184" t="inlineStr">
        <is>
          <t>Ozon Pay</t>
        </is>
      </c>
      <c r="H184" t="inlineStr">
        <is>
          <t>N</t>
        </is>
      </c>
    </row>
    <row r="185">
      <c r="A185" t="inlineStr">
        <is>
          <t>2026-04-20</t>
        </is>
      </c>
      <c r="B185" t="inlineStr">
        <is>
          <t>WB-200007506</t>
        </is>
      </c>
      <c r="D185" t="inlineStr">
        <is>
          <t>Чистящий крем кухня 750 мл</t>
        </is>
      </c>
      <c r="E185" t="n">
        <v>-48</v>
      </c>
      <c r="F185" t="n">
        <v>315</v>
      </c>
      <c r="G185" t="inlineStr">
        <is>
          <t>Карта</t>
        </is>
      </c>
      <c r="H185" t="inlineStr">
        <is>
          <t>Y</t>
        </is>
      </c>
    </row>
    <row r="186">
      <c r="A186" t="inlineStr">
        <is>
          <t>2026-04-20</t>
        </is>
      </c>
      <c r="B186" t="inlineStr">
        <is>
          <t>WB-200008522</t>
        </is>
      </c>
      <c r="C186" t="inlineStr">
        <is>
          <t>WND-009</t>
        </is>
      </c>
      <c r="D186" t="inlineStr">
        <is>
          <t>Очиститель стёкол 500мл</t>
        </is>
      </c>
      <c r="E186" t="n">
        <v>194</v>
      </c>
      <c r="F186" t="n">
        <v>220</v>
      </c>
      <c r="G186" t="inlineStr">
        <is>
          <t>Wallet</t>
        </is>
      </c>
      <c r="H186" t="inlineStr">
        <is>
          <t>N</t>
        </is>
      </c>
    </row>
    <row r="187">
      <c r="A187" t="inlineStr">
        <is>
          <t>2026-04-21</t>
        </is>
      </c>
      <c r="B187" t="inlineStr">
        <is>
          <t>WB-200000802</t>
        </is>
      </c>
      <c r="C187" t="inlineStr">
        <is>
          <t>ABC-CLN-042</t>
        </is>
      </c>
      <c r="D187" t="inlineStr">
        <is>
          <t>Средство для пола 1л</t>
        </is>
      </c>
      <c r="E187" t="n">
        <v>343</v>
      </c>
      <c r="F187" t="n">
        <v>380</v>
      </c>
      <c r="G187" t="inlineStr">
        <is>
          <t>Wallet</t>
        </is>
      </c>
      <c r="H187" t="inlineStr">
        <is>
          <t>N</t>
        </is>
      </c>
    </row>
    <row r="188">
      <c r="A188" t="inlineStr">
        <is>
          <t>2026-04-21</t>
        </is>
      </c>
      <c r="B188" t="inlineStr">
        <is>
          <t>WB-200002288</t>
        </is>
      </c>
      <c r="C188" t="inlineStr">
        <is>
          <t>ABC-LDR-034</t>
        </is>
      </c>
      <c r="D188" t="inlineStr">
        <is>
          <t>Детский гель для стирки 1.5л</t>
        </is>
      </c>
      <c r="E188" t="n">
        <v>80</v>
      </c>
      <c r="F188" t="n">
        <v>720</v>
      </c>
      <c r="G188" t="inlineStr">
        <is>
          <t>Wallet</t>
        </is>
      </c>
      <c r="H188" t="inlineStr">
        <is>
          <t>N</t>
        </is>
      </c>
    </row>
    <row r="189">
      <c r="A189" t="inlineStr">
        <is>
          <t>2026-04-21</t>
        </is>
      </c>
      <c r="B189" t="inlineStr">
        <is>
          <t>WB-200002327</t>
        </is>
      </c>
      <c r="C189" t="inlineStr">
        <is>
          <t>ABC-LDR-034</t>
        </is>
      </c>
      <c r="D189" t="inlineStr">
        <is>
          <t>Детский гель для стирки 1.5л</t>
        </is>
      </c>
      <c r="E189" t="n">
        <v>48</v>
      </c>
      <c r="F189" t="n">
        <v>720</v>
      </c>
      <c r="G189" t="inlineStr">
        <is>
          <t>Ozon Pay</t>
        </is>
      </c>
      <c r="H189" t="inlineStr">
        <is>
          <t>N</t>
        </is>
      </c>
    </row>
    <row r="190">
      <c r="A190" t="inlineStr">
        <is>
          <t>2026-04-21</t>
        </is>
      </c>
      <c r="B190" t="inlineStr">
        <is>
          <t>WB-200003827</t>
        </is>
      </c>
      <c r="C190" t="inlineStr">
        <is>
          <t>ABC-LDR-027</t>
        </is>
      </c>
      <c r="D190" t="inlineStr">
        <is>
          <t>Кондиционер для белья 1л</t>
        </is>
      </c>
      <c r="E190" t="n">
        <v>49</v>
      </c>
      <c r="F190" t="n">
        <v>261</v>
      </c>
      <c r="G190" t="inlineStr">
        <is>
          <t>Ozon Pay</t>
        </is>
      </c>
      <c r="H190" t="inlineStr">
        <is>
          <t>N</t>
        </is>
      </c>
    </row>
    <row r="191">
      <c r="A191" t="inlineStr">
        <is>
          <t>2026-04-21</t>
        </is>
      </c>
      <c r="B191" t="inlineStr">
        <is>
          <t>WB-200003854</t>
        </is>
      </c>
      <c r="C191" t="inlineStr">
        <is>
          <t>ABC-LDR-027</t>
        </is>
      </c>
      <c r="D191" t="inlineStr">
        <is>
          <t>Кондиционер для белья 1л</t>
        </is>
      </c>
      <c r="E191" t="n">
        <v>196</v>
      </c>
      <c r="F191" t="n">
        <v>261</v>
      </c>
      <c r="G191" t="inlineStr">
        <is>
          <t>Карта</t>
        </is>
      </c>
      <c r="H191" t="inlineStr">
        <is>
          <t>N</t>
        </is>
      </c>
    </row>
    <row r="192">
      <c r="A192" t="inlineStr">
        <is>
          <t>2026-04-21</t>
        </is>
      </c>
      <c r="B192" t="inlineStr">
        <is>
          <t>WB-200005478</t>
        </is>
      </c>
      <c r="C192" t="inlineStr">
        <is>
          <t>ABC-DSH-018</t>
        </is>
      </c>
      <c r="D192" t="inlineStr">
        <is>
          <t>Средство для посуды 500мл</t>
        </is>
      </c>
      <c r="E192" t="n">
        <v>263</v>
      </c>
      <c r="F192" t="n">
        <v>240</v>
      </c>
      <c r="G192" t="inlineStr">
        <is>
          <t>Wallet</t>
        </is>
      </c>
      <c r="H192" t="inlineStr">
        <is>
          <t>N</t>
        </is>
      </c>
    </row>
    <row r="193">
      <c r="A193" t="inlineStr">
        <is>
          <t>2026-04-21</t>
        </is>
      </c>
      <c r="B193" t="inlineStr">
        <is>
          <t>WB-200006987</t>
        </is>
      </c>
      <c r="D193" t="inlineStr">
        <is>
          <t>Чистящий крем кухня 750 мл</t>
        </is>
      </c>
      <c r="E193" t="n">
        <v>145</v>
      </c>
      <c r="F193" t="n">
        <v>350</v>
      </c>
      <c r="G193" t="inlineStr">
        <is>
          <t>Карта</t>
        </is>
      </c>
      <c r="H193" t="inlineStr">
        <is>
          <t>N</t>
        </is>
      </c>
    </row>
    <row r="194">
      <c r="A194" t="inlineStr">
        <is>
          <t>2026-04-21</t>
        </is>
      </c>
      <c r="B194" t="inlineStr">
        <is>
          <t>WB-200008540</t>
        </is>
      </c>
      <c r="C194" t="inlineStr">
        <is>
          <t>WND-009</t>
        </is>
      </c>
      <c r="D194" t="inlineStr">
        <is>
          <t>Очиститель стёкол 500мл</t>
        </is>
      </c>
      <c r="E194" t="n">
        <v>57</v>
      </c>
      <c r="F194" t="n">
        <v>220</v>
      </c>
      <c r="G194" t="inlineStr">
        <is>
          <t>Wallet</t>
        </is>
      </c>
      <c r="H194" t="inlineStr">
        <is>
          <t>N</t>
        </is>
      </c>
    </row>
    <row r="195">
      <c r="A195" t="inlineStr">
        <is>
          <t>2026-04-21</t>
        </is>
      </c>
      <c r="B195" t="inlineStr">
        <is>
          <t>WB-200008569</t>
        </is>
      </c>
      <c r="C195" t="inlineStr">
        <is>
          <t>WND-009</t>
        </is>
      </c>
      <c r="D195" t="inlineStr">
        <is>
          <t>Очиститель стёкол 500мл</t>
        </is>
      </c>
      <c r="E195" t="n">
        <v>137</v>
      </c>
      <c r="F195" t="n">
        <v>220</v>
      </c>
      <c r="G195" t="inlineStr">
        <is>
          <t>Карта</t>
        </is>
      </c>
      <c r="H195" t="inlineStr">
        <is>
          <t>N</t>
        </is>
      </c>
    </row>
    <row r="196">
      <c r="A196" t="inlineStr">
        <is>
          <t>2026-04-22</t>
        </is>
      </c>
      <c r="B196" t="inlineStr">
        <is>
          <t>WB-200000838</t>
        </is>
      </c>
      <c r="C196" t="inlineStr">
        <is>
          <t>ABC-CLN-042</t>
        </is>
      </c>
      <c r="D196" t="inlineStr">
        <is>
          <t>Средство для пола 1л</t>
        </is>
      </c>
      <c r="E196" t="n">
        <v>343</v>
      </c>
      <c r="F196" t="n">
        <v>380</v>
      </c>
      <c r="G196" t="inlineStr">
        <is>
          <t>Ozon Pay</t>
        </is>
      </c>
      <c r="H196" t="inlineStr">
        <is>
          <t>N</t>
        </is>
      </c>
    </row>
    <row r="197">
      <c r="A197" t="inlineStr">
        <is>
          <t>2026-04-22</t>
        </is>
      </c>
      <c r="B197" t="inlineStr">
        <is>
          <t>WB-200002374</t>
        </is>
      </c>
      <c r="C197" t="inlineStr">
        <is>
          <t>ABC-LDR-034</t>
        </is>
      </c>
      <c r="D197" t="inlineStr">
        <is>
          <t>Детский гель для стирки 1.5л</t>
        </is>
      </c>
      <c r="E197" t="n">
        <v>90</v>
      </c>
      <c r="F197" t="n">
        <v>720</v>
      </c>
      <c r="G197" t="inlineStr">
        <is>
          <t>Карта</t>
        </is>
      </c>
      <c r="H197" t="inlineStr">
        <is>
          <t>N</t>
        </is>
      </c>
    </row>
    <row r="198">
      <c r="A198" t="inlineStr">
        <is>
          <t>2026-04-22</t>
        </is>
      </c>
      <c r="B198" t="inlineStr">
        <is>
          <t>WB-200002405</t>
        </is>
      </c>
      <c r="C198" t="inlineStr">
        <is>
          <t>ABC-LDR-034</t>
        </is>
      </c>
      <c r="D198" t="inlineStr">
        <is>
          <t>Детский гель для стирки 1.5л</t>
        </is>
      </c>
      <c r="E198" t="n">
        <v>38</v>
      </c>
      <c r="F198" t="n">
        <v>720</v>
      </c>
      <c r="G198" t="inlineStr">
        <is>
          <t>Wallet</t>
        </is>
      </c>
      <c r="H198" t="inlineStr">
        <is>
          <t>N</t>
        </is>
      </c>
    </row>
    <row r="199">
      <c r="A199" t="inlineStr">
        <is>
          <t>2026-04-22</t>
        </is>
      </c>
      <c r="B199" t="inlineStr">
        <is>
          <t>WB-200002812</t>
        </is>
      </c>
      <c r="C199" t="inlineStr">
        <is>
          <t>ABC-LDR-034</t>
        </is>
      </c>
      <c r="D199" t="inlineStr">
        <is>
          <t>Детский гель для стирки 1.5л</t>
        </is>
      </c>
      <c r="E199" t="n">
        <v>-100</v>
      </c>
      <c r="F199" t="n">
        <v>662</v>
      </c>
      <c r="G199" t="inlineStr">
        <is>
          <t>Ozon Pay</t>
        </is>
      </c>
      <c r="H199" t="inlineStr">
        <is>
          <t>Y</t>
        </is>
      </c>
    </row>
    <row r="200">
      <c r="A200" t="inlineStr">
        <is>
          <t>2026-04-22</t>
        </is>
      </c>
      <c r="B200" t="inlineStr">
        <is>
          <t>WB-200003875</t>
        </is>
      </c>
      <c r="C200" t="inlineStr">
        <is>
          <t>ABC-LDR-027</t>
        </is>
      </c>
      <c r="D200" t="inlineStr">
        <is>
          <t>Кондиционер для белья 1л</t>
        </is>
      </c>
      <c r="E200" t="n">
        <v>245</v>
      </c>
      <c r="F200" t="n">
        <v>261</v>
      </c>
      <c r="G200" t="inlineStr">
        <is>
          <t>Ozon Pay</t>
        </is>
      </c>
      <c r="H200" t="inlineStr">
        <is>
          <t>N</t>
        </is>
      </c>
    </row>
    <row r="201">
      <c r="A201" t="inlineStr">
        <is>
          <t>2026-04-22</t>
        </is>
      </c>
      <c r="B201" t="inlineStr">
        <is>
          <t>WB-200005499</t>
        </is>
      </c>
      <c r="C201" t="inlineStr">
        <is>
          <t>ABC-DSH-018</t>
        </is>
      </c>
      <c r="D201" t="inlineStr">
        <is>
          <t>Средство для посуды 500мл</t>
        </is>
      </c>
      <c r="E201" t="n">
        <v>395</v>
      </c>
      <c r="F201" t="n">
        <v>223</v>
      </c>
      <c r="G201" t="inlineStr">
        <is>
          <t>Ozon Pay</t>
        </is>
      </c>
      <c r="H201" t="inlineStr">
        <is>
          <t>N</t>
        </is>
      </c>
    </row>
    <row r="202">
      <c r="A202" t="inlineStr">
        <is>
          <t>2026-04-22</t>
        </is>
      </c>
      <c r="B202" t="inlineStr">
        <is>
          <t>WB-200007017</t>
        </is>
      </c>
      <c r="D202" t="inlineStr">
        <is>
          <t>Чистящий крем кухня 750 мл</t>
        </is>
      </c>
      <c r="E202" t="n">
        <v>116</v>
      </c>
      <c r="F202" t="n">
        <v>350</v>
      </c>
      <c r="G202" t="inlineStr">
        <is>
          <t>Карта</t>
        </is>
      </c>
      <c r="H202" t="inlineStr">
        <is>
          <t>N</t>
        </is>
      </c>
    </row>
    <row r="203">
      <c r="A203" t="inlineStr">
        <is>
          <t>2026-04-22</t>
        </is>
      </c>
      <c r="B203" t="inlineStr">
        <is>
          <t>WB-200007055</t>
        </is>
      </c>
      <c r="D203" t="inlineStr">
        <is>
          <t>Чистящий крем кухня 750 мл</t>
        </is>
      </c>
      <c r="E203" t="n">
        <v>29</v>
      </c>
      <c r="F203" t="n">
        <v>350</v>
      </c>
      <c r="G203" t="inlineStr">
        <is>
          <t>Ozon Pay</t>
        </is>
      </c>
      <c r="H203" t="inlineStr">
        <is>
          <t>N</t>
        </is>
      </c>
    </row>
    <row r="204">
      <c r="A204" t="inlineStr">
        <is>
          <t>2026-04-22</t>
        </is>
      </c>
      <c r="B204" t="inlineStr">
        <is>
          <t>WB-200007489</t>
        </is>
      </c>
      <c r="D204" t="inlineStr">
        <is>
          <t>Чистящий крем кухня 750 мл</t>
        </is>
      </c>
      <c r="E204" t="n">
        <v>-48</v>
      </c>
      <c r="F204" t="n">
        <v>350</v>
      </c>
      <c r="G204" t="inlineStr">
        <is>
          <t>Ozon Pay</t>
        </is>
      </c>
      <c r="H204" t="inlineStr">
        <is>
          <t>Y</t>
        </is>
      </c>
    </row>
    <row r="205">
      <c r="A205" t="inlineStr">
        <is>
          <t>2026-04-22</t>
        </is>
      </c>
      <c r="B205" t="inlineStr">
        <is>
          <t>WB-200008586</t>
        </is>
      </c>
      <c r="C205" t="inlineStr">
        <is>
          <t>WND-009</t>
        </is>
      </c>
      <c r="D205" t="inlineStr">
        <is>
          <t>Очиститель стёкол 500мл</t>
        </is>
      </c>
      <c r="E205" t="n">
        <v>155</v>
      </c>
      <c r="F205" t="n">
        <v>220</v>
      </c>
      <c r="G205" t="inlineStr">
        <is>
          <t>Карта</t>
        </is>
      </c>
      <c r="H205" t="inlineStr">
        <is>
          <t>N</t>
        </is>
      </c>
    </row>
    <row r="206">
      <c r="A206" t="inlineStr">
        <is>
          <t>2026-04-22</t>
        </is>
      </c>
      <c r="B206" t="inlineStr">
        <is>
          <t>WB-200008614</t>
        </is>
      </c>
      <c r="C206" t="inlineStr">
        <is>
          <t>WND-009</t>
        </is>
      </c>
      <c r="D206" t="inlineStr">
        <is>
          <t>Очиститель стёкол 500мл</t>
        </is>
      </c>
      <c r="E206" t="n">
        <v>39</v>
      </c>
      <c r="F206" t="n">
        <v>220</v>
      </c>
      <c r="G206" t="inlineStr">
        <is>
          <t>Ozon Pay</t>
        </is>
      </c>
      <c r="H206" t="inlineStr">
        <is>
          <t>N</t>
        </is>
      </c>
    </row>
    <row r="207">
      <c r="A207" t="inlineStr">
        <is>
          <t>2026-04-23</t>
        </is>
      </c>
      <c r="B207" t="inlineStr">
        <is>
          <t>WB-200000863</t>
        </is>
      </c>
      <c r="C207" t="inlineStr">
        <is>
          <t>ABC-CLN-042</t>
        </is>
      </c>
      <c r="D207" t="inlineStr">
        <is>
          <t>Средство для пола 1л</t>
        </is>
      </c>
      <c r="E207" t="n">
        <v>214</v>
      </c>
      <c r="F207" t="n">
        <v>380</v>
      </c>
      <c r="G207" t="inlineStr">
        <is>
          <t>Wallet</t>
        </is>
      </c>
      <c r="H207" t="inlineStr">
        <is>
          <t>N</t>
        </is>
      </c>
    </row>
    <row r="208">
      <c r="A208" t="inlineStr">
        <is>
          <t>2026-04-23</t>
        </is>
      </c>
      <c r="B208" t="inlineStr">
        <is>
          <t>WB-200000897</t>
        </is>
      </c>
      <c r="C208" t="inlineStr">
        <is>
          <t>ABC-CLN-042</t>
        </is>
      </c>
      <c r="D208" t="inlineStr">
        <is>
          <t>Средство для пола 1л</t>
        </is>
      </c>
      <c r="E208" t="n">
        <v>129</v>
      </c>
      <c r="F208" t="n">
        <v>380</v>
      </c>
      <c r="G208" t="inlineStr">
        <is>
          <t>Ozon Pay</t>
        </is>
      </c>
      <c r="H208" t="inlineStr">
        <is>
          <t>N</t>
        </is>
      </c>
    </row>
    <row r="209">
      <c r="A209" t="inlineStr">
        <is>
          <t>2026-04-23</t>
        </is>
      </c>
      <c r="B209" t="inlineStr">
        <is>
          <t>WB-200002424</t>
        </is>
      </c>
      <c r="C209" t="inlineStr">
        <is>
          <t>ABC-LDR-034</t>
        </is>
      </c>
      <c r="D209" t="inlineStr">
        <is>
          <t>Детский гель для стирки 1.5л</t>
        </is>
      </c>
      <c r="E209" t="n">
        <v>128</v>
      </c>
      <c r="F209" t="n">
        <v>720</v>
      </c>
      <c r="G209" t="inlineStr">
        <is>
          <t>Ozon Pay</t>
        </is>
      </c>
      <c r="H209" t="inlineStr">
        <is>
          <t>N</t>
        </is>
      </c>
    </row>
    <row r="210">
      <c r="A210" t="inlineStr">
        <is>
          <t>2026-04-23</t>
        </is>
      </c>
      <c r="B210" t="inlineStr">
        <is>
          <t>WB-200003916</t>
        </is>
      </c>
      <c r="C210" t="inlineStr">
        <is>
          <t>ABC-LDR-027</t>
        </is>
      </c>
      <c r="D210" t="inlineStr">
        <is>
          <t>Кондиционер для белья 1л</t>
        </is>
      </c>
      <c r="E210" t="n">
        <v>245</v>
      </c>
      <c r="F210" t="n">
        <v>261</v>
      </c>
      <c r="G210" t="inlineStr">
        <is>
          <t>Карта</t>
        </is>
      </c>
      <c r="H210" t="inlineStr">
        <is>
          <t>N</t>
        </is>
      </c>
    </row>
    <row r="211">
      <c r="A211" t="inlineStr">
        <is>
          <t>2026-04-23</t>
        </is>
      </c>
      <c r="B211" t="inlineStr">
        <is>
          <t>WB-200005523</t>
        </is>
      </c>
      <c r="C211" t="inlineStr">
        <is>
          <t>ABC-DSH-018</t>
        </is>
      </c>
      <c r="D211" t="inlineStr">
        <is>
          <t>Средство для посуды 500мл</t>
        </is>
      </c>
      <c r="E211" t="n">
        <v>79</v>
      </c>
      <c r="F211" t="n">
        <v>223</v>
      </c>
      <c r="G211" t="inlineStr">
        <is>
          <t>Ozon Pay</t>
        </is>
      </c>
      <c r="H211" t="inlineStr">
        <is>
          <t>N</t>
        </is>
      </c>
    </row>
    <row r="212">
      <c r="A212" t="inlineStr">
        <is>
          <t>2026-04-23</t>
        </is>
      </c>
      <c r="B212" t="inlineStr">
        <is>
          <t>WB-200005560</t>
        </is>
      </c>
      <c r="C212" t="inlineStr">
        <is>
          <t>ABC-DSH-018</t>
        </is>
      </c>
      <c r="D212" t="inlineStr">
        <is>
          <t>Средство для посуды 500мл</t>
        </is>
      </c>
      <c r="E212" t="n">
        <v>316</v>
      </c>
      <c r="F212" t="n">
        <v>223</v>
      </c>
      <c r="G212" t="inlineStr">
        <is>
          <t>Карта</t>
        </is>
      </c>
      <c r="H212" t="inlineStr">
        <is>
          <t>N</t>
        </is>
      </c>
    </row>
    <row r="213">
      <c r="A213" t="inlineStr">
        <is>
          <t>2026-04-23</t>
        </is>
      </c>
      <c r="B213" t="inlineStr">
        <is>
          <t>WB-200007080</t>
        </is>
      </c>
      <c r="D213" t="inlineStr">
        <is>
          <t>Чистящий крем кухня 750 мл</t>
        </is>
      </c>
      <c r="E213" t="n">
        <v>145</v>
      </c>
      <c r="F213" t="n">
        <v>350</v>
      </c>
      <c r="G213" t="inlineStr">
        <is>
          <t>Карта</t>
        </is>
      </c>
      <c r="H213" t="inlineStr">
        <is>
          <t>N</t>
        </is>
      </c>
    </row>
    <row r="214">
      <c r="A214" t="inlineStr">
        <is>
          <t>2026-04-23</t>
        </is>
      </c>
      <c r="B214" t="inlineStr">
        <is>
          <t>WB-200008634</t>
        </is>
      </c>
      <c r="C214" t="inlineStr">
        <is>
          <t>WND-009</t>
        </is>
      </c>
      <c r="D214" t="inlineStr">
        <is>
          <t>Очиститель стёкол 500мл</t>
        </is>
      </c>
      <c r="E214" t="n">
        <v>57</v>
      </c>
      <c r="F214" t="n">
        <v>220</v>
      </c>
      <c r="G214" t="inlineStr">
        <is>
          <t>Wallet</t>
        </is>
      </c>
      <c r="H214" t="inlineStr">
        <is>
          <t>N</t>
        </is>
      </c>
    </row>
    <row r="215">
      <c r="A215" t="inlineStr">
        <is>
          <t>2026-04-23</t>
        </is>
      </c>
      <c r="B215" t="inlineStr">
        <is>
          <t>WB-200008679</t>
        </is>
      </c>
      <c r="C215" t="inlineStr">
        <is>
          <t>WND-009</t>
        </is>
      </c>
      <c r="D215" t="inlineStr">
        <is>
          <t>Очиститель стёкол 500мл</t>
        </is>
      </c>
      <c r="E215" t="n">
        <v>137</v>
      </c>
      <c r="F215" t="n">
        <v>220</v>
      </c>
      <c r="G215" t="inlineStr">
        <is>
          <t>Карта</t>
        </is>
      </c>
      <c r="H215" t="inlineStr">
        <is>
          <t>N</t>
        </is>
      </c>
    </row>
    <row r="216">
      <c r="A216" t="inlineStr">
        <is>
          <t>2026-04-24</t>
        </is>
      </c>
      <c r="B216" t="inlineStr">
        <is>
          <t>WB-200000941</t>
        </is>
      </c>
      <c r="C216" t="inlineStr">
        <is>
          <t>ABC-CLN-042</t>
        </is>
      </c>
      <c r="D216" t="inlineStr">
        <is>
          <t>Средство для пола 1л</t>
        </is>
      </c>
      <c r="E216" t="n">
        <v>411</v>
      </c>
      <c r="F216" t="n">
        <v>361</v>
      </c>
      <c r="G216" t="inlineStr">
        <is>
          <t>Карта</t>
        </is>
      </c>
      <c r="H216" t="inlineStr">
        <is>
          <t>N</t>
        </is>
      </c>
    </row>
    <row r="217">
      <c r="A217" t="inlineStr">
        <is>
          <t>2026-04-24</t>
        </is>
      </c>
      <c r="B217" t="inlineStr">
        <is>
          <t>WB-200000955</t>
        </is>
      </c>
      <c r="C217" t="inlineStr">
        <is>
          <t>ABC-CLN-042</t>
        </is>
      </c>
      <c r="D217" t="inlineStr">
        <is>
          <t>Средство для пола 1л</t>
        </is>
      </c>
      <c r="E217" t="n">
        <v>103</v>
      </c>
      <c r="F217" t="n">
        <v>361</v>
      </c>
      <c r="G217" t="inlineStr">
        <is>
          <t>Ozon Pay</t>
        </is>
      </c>
      <c r="H217" t="inlineStr">
        <is>
          <t>N</t>
        </is>
      </c>
    </row>
    <row r="218">
      <c r="A218" t="inlineStr">
        <is>
          <t>2026-04-24</t>
        </is>
      </c>
      <c r="B218" t="inlineStr">
        <is>
          <t>WB-200002466</t>
        </is>
      </c>
      <c r="C218" t="inlineStr">
        <is>
          <t>ABC-LDR-034</t>
        </is>
      </c>
      <c r="D218" t="inlineStr">
        <is>
          <t>Детский гель для стирки 1.5л</t>
        </is>
      </c>
      <c r="E218" t="n">
        <v>128</v>
      </c>
      <c r="F218" t="n">
        <v>720</v>
      </c>
      <c r="G218" t="inlineStr">
        <is>
          <t>Ozon Pay</t>
        </is>
      </c>
      <c r="H218" t="inlineStr">
        <is>
          <t>N</t>
        </is>
      </c>
    </row>
    <row r="219">
      <c r="A219" t="inlineStr">
        <is>
          <t>2026-04-24</t>
        </is>
      </c>
      <c r="B219" t="inlineStr">
        <is>
          <t>WB-200003946</t>
        </is>
      </c>
      <c r="C219" t="inlineStr">
        <is>
          <t>ABC-LDR-027</t>
        </is>
      </c>
      <c r="D219" t="inlineStr">
        <is>
          <t>Кондиционер для белья 1л</t>
        </is>
      </c>
      <c r="E219" t="n">
        <v>153</v>
      </c>
      <c r="F219" t="n">
        <v>261</v>
      </c>
      <c r="G219" t="inlineStr">
        <is>
          <t>Wallet</t>
        </is>
      </c>
      <c r="H219" t="inlineStr">
        <is>
          <t>N</t>
        </is>
      </c>
    </row>
    <row r="220">
      <c r="A220" t="inlineStr">
        <is>
          <t>2026-04-24</t>
        </is>
      </c>
      <c r="B220" t="inlineStr">
        <is>
          <t>WB-200003965</t>
        </is>
      </c>
      <c r="C220" t="inlineStr">
        <is>
          <t>ABC-LDR-027</t>
        </is>
      </c>
      <c r="D220" t="inlineStr">
        <is>
          <t>Кондиционер для белья 1л</t>
        </is>
      </c>
      <c r="E220" t="n">
        <v>92</v>
      </c>
      <c r="F220" t="n">
        <v>261</v>
      </c>
      <c r="G220" t="inlineStr">
        <is>
          <t>Ozon Pay</t>
        </is>
      </c>
      <c r="H220" t="inlineStr">
        <is>
          <t>N</t>
        </is>
      </c>
    </row>
    <row r="221">
      <c r="A221" t="inlineStr">
        <is>
          <t>2026-04-24</t>
        </is>
      </c>
      <c r="B221" t="inlineStr">
        <is>
          <t>WB-200005602</t>
        </is>
      </c>
      <c r="C221" t="inlineStr">
        <is>
          <t>ABC-DSH-018</t>
        </is>
      </c>
      <c r="D221" t="inlineStr">
        <is>
          <t>Средство для посуды 500мл</t>
        </is>
      </c>
      <c r="E221" t="n">
        <v>395</v>
      </c>
      <c r="F221" t="n">
        <v>223</v>
      </c>
      <c r="G221" t="inlineStr">
        <is>
          <t>Карта</t>
        </is>
      </c>
      <c r="H221" t="inlineStr">
        <is>
          <t>N</t>
        </is>
      </c>
    </row>
    <row r="222">
      <c r="A222" t="inlineStr">
        <is>
          <t>2026-04-24</t>
        </is>
      </c>
      <c r="B222" t="inlineStr">
        <is>
          <t>WB-200007102</t>
        </is>
      </c>
      <c r="D222" t="inlineStr">
        <is>
          <t>Чистящий крем кухня 750 мл</t>
        </is>
      </c>
      <c r="E222" t="n">
        <v>43</v>
      </c>
      <c r="F222" t="n">
        <v>350</v>
      </c>
      <c r="G222" t="inlineStr">
        <is>
          <t>Wallet</t>
        </is>
      </c>
      <c r="H222" t="inlineStr">
        <is>
          <t>N</t>
        </is>
      </c>
    </row>
    <row r="223">
      <c r="A223" t="inlineStr">
        <is>
          <t>2026-04-24</t>
        </is>
      </c>
      <c r="B223" t="inlineStr">
        <is>
          <t>WB-200007129</t>
        </is>
      </c>
      <c r="D223" t="inlineStr">
        <is>
          <t>Чистящий крем кухня 750 мл</t>
        </is>
      </c>
      <c r="E223" t="n">
        <v>102</v>
      </c>
      <c r="F223" t="n">
        <v>350</v>
      </c>
      <c r="G223" t="inlineStr">
        <is>
          <t>Карта</t>
        </is>
      </c>
      <c r="H223" t="inlineStr">
        <is>
          <t>N</t>
        </is>
      </c>
    </row>
    <row r="224">
      <c r="A224" t="inlineStr">
        <is>
          <t>2026-04-24</t>
        </is>
      </c>
      <c r="B224" t="inlineStr">
        <is>
          <t>WB-200008710</t>
        </is>
      </c>
      <c r="C224" t="inlineStr">
        <is>
          <t>WND-009</t>
        </is>
      </c>
      <c r="D224" t="inlineStr">
        <is>
          <t>Очиститель стёкол 500мл</t>
        </is>
      </c>
      <c r="E224" t="n">
        <v>194</v>
      </c>
      <c r="F224" t="n">
        <v>220</v>
      </c>
      <c r="G224" t="inlineStr">
        <is>
          <t>Ozon Pay</t>
        </is>
      </c>
      <c r="H224" t="inlineStr">
        <is>
          <t>N</t>
        </is>
      </c>
    </row>
    <row r="225">
      <c r="A225" t="inlineStr">
        <is>
          <t>2026-04-25</t>
        </is>
      </c>
      <c r="B225" t="inlineStr">
        <is>
          <t>WB-200000984</t>
        </is>
      </c>
      <c r="C225" t="inlineStr">
        <is>
          <t>ABC-CLN-042</t>
        </is>
      </c>
      <c r="D225" t="inlineStr">
        <is>
          <t>Средство для пола 1л</t>
        </is>
      </c>
      <c r="E225" t="n">
        <v>514</v>
      </c>
      <c r="F225" t="n">
        <v>361</v>
      </c>
      <c r="G225" t="inlineStr">
        <is>
          <t>Карта</t>
        </is>
      </c>
      <c r="H225" t="inlineStr">
        <is>
          <t>N</t>
        </is>
      </c>
    </row>
    <row r="226">
      <c r="A226" t="inlineStr">
        <is>
          <t>2026-04-25</t>
        </is>
      </c>
      <c r="B226" t="inlineStr">
        <is>
          <t>WB-200002511</t>
        </is>
      </c>
      <c r="C226" t="inlineStr">
        <is>
          <t>ABC-LDR-034</t>
        </is>
      </c>
      <c r="D226" t="inlineStr">
        <is>
          <t>Детский гель для стирки 1.5л</t>
        </is>
      </c>
      <c r="E226" t="n">
        <v>102</v>
      </c>
      <c r="F226" t="n">
        <v>720</v>
      </c>
      <c r="G226" t="inlineStr">
        <is>
          <t>Карта</t>
        </is>
      </c>
      <c r="H226" t="inlineStr">
        <is>
          <t>N</t>
        </is>
      </c>
    </row>
    <row r="227">
      <c r="A227" t="inlineStr">
        <is>
          <t>2026-04-25</t>
        </is>
      </c>
      <c r="B227" t="inlineStr">
        <is>
          <t>WB-200002550</t>
        </is>
      </c>
      <c r="C227" t="inlineStr">
        <is>
          <t>ABC-LDR-034</t>
        </is>
      </c>
      <c r="D227" t="inlineStr">
        <is>
          <t>Детский гель для стирки 1.5л</t>
        </is>
      </c>
      <c r="E227" t="n">
        <v>26</v>
      </c>
      <c r="F227" t="n">
        <v>720</v>
      </c>
      <c r="G227" t="inlineStr">
        <is>
          <t>Ozon Pay</t>
        </is>
      </c>
      <c r="H227" t="inlineStr">
        <is>
          <t>N</t>
        </is>
      </c>
    </row>
    <row r="228">
      <c r="A228" t="inlineStr">
        <is>
          <t>2026-04-25</t>
        </is>
      </c>
      <c r="B228" t="inlineStr">
        <is>
          <t>WB-200003991</t>
        </is>
      </c>
      <c r="C228" t="inlineStr">
        <is>
          <t>ABC-LDR-027</t>
        </is>
      </c>
      <c r="D228" t="inlineStr">
        <is>
          <t>Кондиционер для белья 1л</t>
        </is>
      </c>
      <c r="E228" t="n">
        <v>245</v>
      </c>
      <c r="F228" t="n">
        <v>261</v>
      </c>
      <c r="G228" t="inlineStr">
        <is>
          <t>Ozon Pay</t>
        </is>
      </c>
      <c r="H228" t="inlineStr">
        <is>
          <t>N</t>
        </is>
      </c>
    </row>
    <row r="229">
      <c r="A229" t="inlineStr">
        <is>
          <t>2026-04-25</t>
        </is>
      </c>
      <c r="B229" t="inlineStr">
        <is>
          <t>WB-200005645</t>
        </is>
      </c>
      <c r="C229" t="inlineStr">
        <is>
          <t>ABC-DSH-018</t>
        </is>
      </c>
      <c r="D229" t="inlineStr">
        <is>
          <t>Средство для посуды 500мл</t>
        </is>
      </c>
      <c r="E229" t="n">
        <v>148</v>
      </c>
      <c r="F229" t="n">
        <v>223</v>
      </c>
      <c r="G229" t="inlineStr">
        <is>
          <t>Ozon Pay</t>
        </is>
      </c>
      <c r="H229" t="inlineStr">
        <is>
          <t>N</t>
        </is>
      </c>
    </row>
    <row r="230">
      <c r="A230" t="inlineStr">
        <is>
          <t>2026-04-25</t>
        </is>
      </c>
      <c r="B230" t="inlineStr">
        <is>
          <t>WB-200005682</t>
        </is>
      </c>
      <c r="C230" t="inlineStr">
        <is>
          <t>ABC-DSH-018</t>
        </is>
      </c>
      <c r="D230" t="inlineStr">
        <is>
          <t>Средство для посуды 500мл</t>
        </is>
      </c>
      <c r="E230" t="n">
        <v>247</v>
      </c>
      <c r="F230" t="n">
        <v>223</v>
      </c>
      <c r="G230" t="inlineStr">
        <is>
          <t>Wallet</t>
        </is>
      </c>
      <c r="H230" t="inlineStr">
        <is>
          <t>N</t>
        </is>
      </c>
    </row>
    <row r="231">
      <c r="A231" t="inlineStr">
        <is>
          <t>2026-04-25</t>
        </is>
      </c>
      <c r="B231" t="inlineStr">
        <is>
          <t>WB-200006029</t>
        </is>
      </c>
      <c r="C231" t="inlineStr">
        <is>
          <t>ABC-DSH-018</t>
        </is>
      </c>
      <c r="D231" t="inlineStr">
        <is>
          <t>Средство для посуды 500мл</t>
        </is>
      </c>
      <c r="E231" t="n">
        <v>-80</v>
      </c>
      <c r="F231" t="n">
        <v>240</v>
      </c>
      <c r="G231" t="inlineStr">
        <is>
          <t>Карта</t>
        </is>
      </c>
      <c r="H231" t="inlineStr">
        <is>
          <t>Y</t>
        </is>
      </c>
    </row>
    <row r="232">
      <c r="A232" t="inlineStr">
        <is>
          <t>2026-04-25</t>
        </is>
      </c>
      <c r="B232" t="inlineStr">
        <is>
          <t>WB-200007146</t>
        </is>
      </c>
      <c r="D232" t="inlineStr">
        <is>
          <t>Чистящий крем кухня 750 мл</t>
        </is>
      </c>
      <c r="E232" t="n">
        <v>91</v>
      </c>
      <c r="F232" t="n">
        <v>350</v>
      </c>
      <c r="G232" t="inlineStr">
        <is>
          <t>Wallet</t>
        </is>
      </c>
      <c r="H232" t="inlineStr">
        <is>
          <t>N</t>
        </is>
      </c>
    </row>
    <row r="233">
      <c r="A233" t="inlineStr">
        <is>
          <t>2026-04-25</t>
        </is>
      </c>
      <c r="B233" t="inlineStr">
        <is>
          <t>WB-200007189</t>
        </is>
      </c>
      <c r="D233" t="inlineStr">
        <is>
          <t>Чистящий крем кухня 750 мл</t>
        </is>
      </c>
      <c r="E233" t="n">
        <v>54</v>
      </c>
      <c r="F233" t="n">
        <v>350</v>
      </c>
      <c r="G233" t="inlineStr">
        <is>
          <t>Ozon Pay</t>
        </is>
      </c>
      <c r="H233" t="inlineStr">
        <is>
          <t>N</t>
        </is>
      </c>
    </row>
    <row r="234">
      <c r="A234" t="inlineStr">
        <is>
          <t>2026-04-25</t>
        </is>
      </c>
      <c r="B234" t="inlineStr">
        <is>
          <t>WB-200007519</t>
        </is>
      </c>
      <c r="D234" t="inlineStr">
        <is>
          <t>Чистящий крем кухня 750 мл</t>
        </is>
      </c>
      <c r="E234" t="n">
        <v>-48</v>
      </c>
      <c r="F234" t="n">
        <v>315</v>
      </c>
      <c r="G234" t="inlineStr">
        <is>
          <t>Карта</t>
        </is>
      </c>
      <c r="H234" t="inlineStr">
        <is>
          <t>Y</t>
        </is>
      </c>
    </row>
    <row r="235">
      <c r="A235" t="inlineStr">
        <is>
          <t>2026-04-25</t>
        </is>
      </c>
      <c r="B235" t="inlineStr">
        <is>
          <t>WB-200008751</t>
        </is>
      </c>
      <c r="C235" t="inlineStr">
        <is>
          <t>WND-009</t>
        </is>
      </c>
      <c r="D235" t="inlineStr">
        <is>
          <t>Очиститель стёкол 500мл</t>
        </is>
      </c>
      <c r="E235" t="n">
        <v>194</v>
      </c>
      <c r="F235" t="n">
        <v>220</v>
      </c>
      <c r="G235" t="inlineStr">
        <is>
          <t>Wallet</t>
        </is>
      </c>
      <c r="H235" t="inlineStr">
        <is>
          <t>N</t>
        </is>
      </c>
    </row>
    <row r="236">
      <c r="A236" t="inlineStr">
        <is>
          <t>2026-04-26</t>
        </is>
      </c>
      <c r="B236" t="inlineStr">
        <is>
          <t>WB-200001010</t>
        </is>
      </c>
      <c r="C236" t="inlineStr">
        <is>
          <t>ABC-CLN-042</t>
        </is>
      </c>
      <c r="D236" t="inlineStr">
        <is>
          <t>Средство для пола 1л</t>
        </is>
      </c>
      <c r="E236" t="n">
        <v>411</v>
      </c>
      <c r="F236" t="n">
        <v>361</v>
      </c>
      <c r="G236" t="inlineStr">
        <is>
          <t>Карта</t>
        </is>
      </c>
      <c r="H236" t="inlineStr">
        <is>
          <t>N</t>
        </is>
      </c>
    </row>
    <row r="237">
      <c r="A237" t="inlineStr">
        <is>
          <t>2026-04-26</t>
        </is>
      </c>
      <c r="B237" t="inlineStr">
        <is>
          <t>WB-200001027</t>
        </is>
      </c>
      <c r="C237" t="inlineStr">
        <is>
          <t>ABC-CLN-042</t>
        </is>
      </c>
      <c r="D237" t="inlineStr">
        <is>
          <t>Средство для пола 1л</t>
        </is>
      </c>
      <c r="E237" t="n">
        <v>103</v>
      </c>
      <c r="F237" t="n">
        <v>361</v>
      </c>
      <c r="G237" t="inlineStr">
        <is>
          <t>Ozon Pay</t>
        </is>
      </c>
      <c r="H237" t="inlineStr">
        <is>
          <t>N</t>
        </is>
      </c>
    </row>
    <row r="238">
      <c r="A238" t="inlineStr">
        <is>
          <t>2026-04-26</t>
        </is>
      </c>
      <c r="B238" t="inlineStr">
        <is>
          <t>WB-200002572</t>
        </is>
      </c>
      <c r="C238" t="inlineStr">
        <is>
          <t>ABC-LDR-034</t>
        </is>
      </c>
      <c r="D238" t="inlineStr">
        <is>
          <t>Детский гель для стирки 1.5л</t>
        </is>
      </c>
      <c r="E238" t="n">
        <v>90</v>
      </c>
      <c r="F238" t="n">
        <v>720</v>
      </c>
      <c r="G238" t="inlineStr">
        <is>
          <t>Карта</t>
        </is>
      </c>
      <c r="H238" t="inlineStr">
        <is>
          <t>N</t>
        </is>
      </c>
    </row>
    <row r="239">
      <c r="A239" t="inlineStr">
        <is>
          <t>2026-04-26</t>
        </is>
      </c>
      <c r="B239" t="inlineStr">
        <is>
          <t>WB-200002611</t>
        </is>
      </c>
      <c r="C239" t="inlineStr">
        <is>
          <t>ABC-LDR-034</t>
        </is>
      </c>
      <c r="D239" t="inlineStr">
        <is>
          <t>Детский гель для стирки 1.5л</t>
        </is>
      </c>
      <c r="E239" t="n">
        <v>38</v>
      </c>
      <c r="F239" t="n">
        <v>720</v>
      </c>
      <c r="G239" t="inlineStr">
        <is>
          <t>Wallet</t>
        </is>
      </c>
      <c r="H239" t="inlineStr">
        <is>
          <t>N</t>
        </is>
      </c>
    </row>
    <row r="240">
      <c r="A240" t="inlineStr">
        <is>
          <t>2026-04-26</t>
        </is>
      </c>
      <c r="B240" t="inlineStr">
        <is>
          <t>WB-200004020</t>
        </is>
      </c>
      <c r="C240" t="inlineStr">
        <is>
          <t>ABC-LDR-027</t>
        </is>
      </c>
      <c r="D240" t="inlineStr">
        <is>
          <t>Кондиционер для белья 1л</t>
        </is>
      </c>
      <c r="E240" t="n">
        <v>103</v>
      </c>
      <c r="F240" t="n">
        <v>290</v>
      </c>
      <c r="G240" t="inlineStr">
        <is>
          <t>Wallet</t>
        </is>
      </c>
      <c r="H240" t="inlineStr">
        <is>
          <t>N</t>
        </is>
      </c>
    </row>
    <row r="241">
      <c r="A241" t="inlineStr">
        <is>
          <t>2026-04-26</t>
        </is>
      </c>
      <c r="B241" t="inlineStr">
        <is>
          <t>WB-200004048</t>
        </is>
      </c>
      <c r="C241" t="inlineStr">
        <is>
          <t>ABC-LDR-027</t>
        </is>
      </c>
      <c r="D241" t="inlineStr">
        <is>
          <t>Кондиционер для белья 1л</t>
        </is>
      </c>
      <c r="E241" t="n">
        <v>61</v>
      </c>
      <c r="F241" t="n">
        <v>290</v>
      </c>
      <c r="G241" t="inlineStr">
        <is>
          <t>Ozon Pay</t>
        </is>
      </c>
      <c r="H241" t="inlineStr">
        <is>
          <t>N</t>
        </is>
      </c>
    </row>
    <row r="242">
      <c r="A242" t="inlineStr">
        <is>
          <t>2026-04-26</t>
        </is>
      </c>
      <c r="B242" t="inlineStr">
        <is>
          <t>WB-200005706</t>
        </is>
      </c>
      <c r="C242" t="inlineStr">
        <is>
          <t>ABC-DSH-018</t>
        </is>
      </c>
      <c r="D242" t="inlineStr">
        <is>
          <t>Средство для посуды 500мл</t>
        </is>
      </c>
      <c r="E242" t="n">
        <v>395</v>
      </c>
      <c r="F242" t="n">
        <v>223</v>
      </c>
      <c r="G242" t="inlineStr">
        <is>
          <t>Wallet</t>
        </is>
      </c>
      <c r="H242" t="inlineStr">
        <is>
          <t>N</t>
        </is>
      </c>
    </row>
    <row r="243">
      <c r="A243" t="inlineStr">
        <is>
          <t>2026-04-26</t>
        </is>
      </c>
      <c r="B243" t="inlineStr">
        <is>
          <t>WB-200007218</t>
        </is>
      </c>
      <c r="D243" t="inlineStr">
        <is>
          <t>Чистящий крем кухня 750 мл</t>
        </is>
      </c>
      <c r="E243" t="n">
        <v>145</v>
      </c>
      <c r="F243" t="n">
        <v>350</v>
      </c>
      <c r="G243" t="inlineStr">
        <is>
          <t>Карта</t>
        </is>
      </c>
      <c r="H243" t="inlineStr">
        <is>
          <t>N</t>
        </is>
      </c>
    </row>
    <row r="244">
      <c r="A244" t="inlineStr">
        <is>
          <t>2026-04-26</t>
        </is>
      </c>
      <c r="B244" t="inlineStr">
        <is>
          <t>WB-200008796</t>
        </is>
      </c>
      <c r="C244" t="inlineStr">
        <is>
          <t>WND-009</t>
        </is>
      </c>
      <c r="D244" t="inlineStr">
        <is>
          <t>Очиститель стёкол 500мл</t>
        </is>
      </c>
      <c r="E244" t="n">
        <v>155</v>
      </c>
      <c r="F244" t="n">
        <v>220</v>
      </c>
      <c r="G244" t="inlineStr">
        <is>
          <t>Карта</t>
        </is>
      </c>
      <c r="H244" t="inlineStr">
        <is>
          <t>N</t>
        </is>
      </c>
    </row>
    <row r="245">
      <c r="A245" t="inlineStr">
        <is>
          <t>2026-04-26</t>
        </is>
      </c>
      <c r="B245" t="inlineStr">
        <is>
          <t>WB-200008814</t>
        </is>
      </c>
      <c r="C245" t="inlineStr">
        <is>
          <t>WND-009</t>
        </is>
      </c>
      <c r="D245" t="inlineStr">
        <is>
          <t>Очиститель стёкол 500мл</t>
        </is>
      </c>
      <c r="E245" t="n">
        <v>39</v>
      </c>
      <c r="F245" t="n">
        <v>220</v>
      </c>
      <c r="G245" t="inlineStr">
        <is>
          <t>Ozon Pay</t>
        </is>
      </c>
      <c r="H245" t="inlineStr">
        <is>
          <t>N</t>
        </is>
      </c>
    </row>
    <row r="246">
      <c r="A246" t="inlineStr">
        <is>
          <t>2026-04-26</t>
        </is>
      </c>
      <c r="B246" t="inlineStr">
        <is>
          <t>WB-200009036</t>
        </is>
      </c>
      <c r="C246" t="inlineStr">
        <is>
          <t>WND-009</t>
        </is>
      </c>
      <c r="D246" t="inlineStr">
        <is>
          <t>Очиститель стёкол 500мл</t>
        </is>
      </c>
      <c r="E246" t="n">
        <v>-128</v>
      </c>
      <c r="F246" t="n">
        <v>220</v>
      </c>
      <c r="G246" t="inlineStr">
        <is>
          <t>Карта</t>
        </is>
      </c>
      <c r="H246" t="inlineStr">
        <is>
          <t>Y</t>
        </is>
      </c>
    </row>
    <row r="247">
      <c r="A247" t="inlineStr">
        <is>
          <t>2026-04-27</t>
        </is>
      </c>
      <c r="B247" t="inlineStr">
        <is>
          <t>WB-200001048</t>
        </is>
      </c>
      <c r="C247" t="inlineStr">
        <is>
          <t>ABC-CLN-042</t>
        </is>
      </c>
      <c r="D247" t="inlineStr">
        <is>
          <t>Средство для пола 1л</t>
        </is>
      </c>
      <c r="E247" t="n">
        <v>514</v>
      </c>
      <c r="F247" t="n">
        <v>361</v>
      </c>
      <c r="G247" t="inlineStr">
        <is>
          <t>Карта</t>
        </is>
      </c>
      <c r="H247" t="inlineStr">
        <is>
          <t>N</t>
        </is>
      </c>
    </row>
    <row r="248">
      <c r="A248" t="inlineStr">
        <is>
          <t>2026-04-27</t>
        </is>
      </c>
      <c r="B248" t="inlineStr">
        <is>
          <t>WB-200002655</t>
        </is>
      </c>
      <c r="C248" t="inlineStr">
        <is>
          <t>ABC-LDR-034</t>
        </is>
      </c>
      <c r="D248" t="inlineStr">
        <is>
          <t>Детский гель для стирки 1.5л</t>
        </is>
      </c>
      <c r="E248" t="n">
        <v>128</v>
      </c>
      <c r="F248" t="n">
        <v>720</v>
      </c>
      <c r="G248" t="inlineStr">
        <is>
          <t>Ozon Pay</t>
        </is>
      </c>
      <c r="H248" t="inlineStr">
        <is>
          <t>N</t>
        </is>
      </c>
    </row>
    <row r="249">
      <c r="A249" t="inlineStr">
        <is>
          <t>2026-04-27</t>
        </is>
      </c>
      <c r="B249" t="inlineStr">
        <is>
          <t>WB-200004075</t>
        </is>
      </c>
      <c r="C249" t="inlineStr">
        <is>
          <t>ABC-LDR-027</t>
        </is>
      </c>
      <c r="D249" t="inlineStr">
        <is>
          <t>Кондиционер для белья 1л</t>
        </is>
      </c>
      <c r="E249" t="n">
        <v>164</v>
      </c>
      <c r="F249" t="n">
        <v>290</v>
      </c>
      <c r="G249" t="inlineStr">
        <is>
          <t>Wallet</t>
        </is>
      </c>
      <c r="H249" t="inlineStr">
        <is>
          <t>N</t>
        </is>
      </c>
    </row>
    <row r="250">
      <c r="A250" t="inlineStr">
        <is>
          <t>2026-04-27</t>
        </is>
      </c>
      <c r="B250" t="inlineStr">
        <is>
          <t>WB-200005729</t>
        </is>
      </c>
      <c r="C250" t="inlineStr">
        <is>
          <t>ABC-DSH-018</t>
        </is>
      </c>
      <c r="D250" t="inlineStr">
        <is>
          <t>Средство для посуды 500мл</t>
        </is>
      </c>
      <c r="E250" t="n">
        <v>79</v>
      </c>
      <c r="F250" t="n">
        <v>223</v>
      </c>
      <c r="G250" t="inlineStr">
        <is>
          <t>Ozon Pay</t>
        </is>
      </c>
      <c r="H250" t="inlineStr">
        <is>
          <t>N</t>
        </is>
      </c>
    </row>
    <row r="251">
      <c r="A251" t="inlineStr">
        <is>
          <t>2026-04-27</t>
        </is>
      </c>
      <c r="B251" t="inlineStr">
        <is>
          <t>WB-200005774</t>
        </is>
      </c>
      <c r="C251" t="inlineStr">
        <is>
          <t>ABC-DSH-018</t>
        </is>
      </c>
      <c r="D251" t="inlineStr">
        <is>
          <t>Средство для посуды 500мл</t>
        </is>
      </c>
      <c r="E251" t="n">
        <v>316</v>
      </c>
      <c r="F251" t="n">
        <v>223</v>
      </c>
      <c r="G251" t="inlineStr">
        <is>
          <t>Карта</t>
        </is>
      </c>
      <c r="H251" t="inlineStr">
        <is>
          <t>N</t>
        </is>
      </c>
    </row>
    <row r="252">
      <c r="A252" t="inlineStr">
        <is>
          <t>2026-04-27</t>
        </is>
      </c>
      <c r="B252" t="inlineStr">
        <is>
          <t>WB-200007233</t>
        </is>
      </c>
      <c r="D252" t="inlineStr">
        <is>
          <t>Чистящий крем кухня 750 мл</t>
        </is>
      </c>
      <c r="E252" t="n">
        <v>145</v>
      </c>
      <c r="F252" t="n">
        <v>350</v>
      </c>
      <c r="G252" t="inlineStr">
        <is>
          <t>Карта</t>
        </is>
      </c>
      <c r="H252" t="inlineStr">
        <is>
          <t>N</t>
        </is>
      </c>
    </row>
    <row r="253">
      <c r="A253" t="inlineStr">
        <is>
          <t>2026-04-27</t>
        </is>
      </c>
      <c r="B253" t="inlineStr">
        <is>
          <t>WB-200007443</t>
        </is>
      </c>
      <c r="D253" t="inlineStr">
        <is>
          <t>Чистящий крем кухня 750 мл</t>
        </is>
      </c>
      <c r="E253" t="n">
        <v>-48</v>
      </c>
      <c r="F253" t="n">
        <v>315</v>
      </c>
      <c r="G253" t="inlineStr">
        <is>
          <t>Карта</t>
        </is>
      </c>
      <c r="H253" t="inlineStr">
        <is>
          <t>Y</t>
        </is>
      </c>
    </row>
    <row r="254">
      <c r="A254" t="inlineStr">
        <is>
          <t>2026-04-27</t>
        </is>
      </c>
      <c r="B254" t="inlineStr">
        <is>
          <t>WB-200008852</t>
        </is>
      </c>
      <c r="C254" t="inlineStr">
        <is>
          <t>WND-009</t>
        </is>
      </c>
      <c r="D254" t="inlineStr">
        <is>
          <t>Очиститель стёкол 500мл</t>
        </is>
      </c>
      <c r="E254" t="n">
        <v>194</v>
      </c>
      <c r="F254" t="n">
        <v>220</v>
      </c>
      <c r="G254" t="inlineStr">
        <is>
          <t>Ozon Pay</t>
        </is>
      </c>
      <c r="H254" t="inlineStr">
        <is>
          <t>N</t>
        </is>
      </c>
    </row>
    <row r="255">
      <c r="A255" t="inlineStr">
        <is>
          <t>2026-04-27</t>
        </is>
      </c>
      <c r="B255" t="inlineStr">
        <is>
          <t>WB-200009066</t>
        </is>
      </c>
      <c r="C255" t="inlineStr">
        <is>
          <t>WND-009</t>
        </is>
      </c>
      <c r="D255" t="inlineStr">
        <is>
          <t>Очиститель стёкол 500мл</t>
        </is>
      </c>
      <c r="E255" t="n">
        <v>-128</v>
      </c>
      <c r="F255" t="n">
        <v>220</v>
      </c>
      <c r="G255" t="inlineStr">
        <is>
          <t>Карта</t>
        </is>
      </c>
      <c r="H255" t="inlineStr">
        <is>
          <t>Y</t>
        </is>
      </c>
    </row>
    <row r="256">
      <c r="A256" t="inlineStr">
        <is>
          <t>2026-04-28</t>
        </is>
      </c>
      <c r="B256" t="inlineStr">
        <is>
          <t>WB-200001066</t>
        </is>
      </c>
      <c r="C256" t="inlineStr">
        <is>
          <t>ABC-CLN-042</t>
        </is>
      </c>
      <c r="D256" t="inlineStr">
        <is>
          <t>Средство для пола 1л</t>
        </is>
      </c>
      <c r="E256" t="n">
        <v>103</v>
      </c>
      <c r="F256" t="n">
        <v>361</v>
      </c>
      <c r="G256" t="inlineStr">
        <is>
          <t>Ozon Pay</t>
        </is>
      </c>
      <c r="H256" t="inlineStr">
        <is>
          <t>N</t>
        </is>
      </c>
    </row>
    <row r="257">
      <c r="A257" t="inlineStr">
        <is>
          <t>2026-04-28</t>
        </is>
      </c>
      <c r="B257" t="inlineStr">
        <is>
          <t>WB-200001107</t>
        </is>
      </c>
      <c r="C257" t="inlineStr">
        <is>
          <t>ABC-CLN-042</t>
        </is>
      </c>
      <c r="D257" t="inlineStr">
        <is>
          <t>Средство для пола 1л</t>
        </is>
      </c>
      <c r="E257" t="n">
        <v>411</v>
      </c>
      <c r="F257" t="n">
        <v>361</v>
      </c>
      <c r="G257" t="inlineStr">
        <is>
          <t>Карта</t>
        </is>
      </c>
      <c r="H257" t="inlineStr">
        <is>
          <t>N</t>
        </is>
      </c>
    </row>
    <row r="258">
      <c r="A258" t="inlineStr">
        <is>
          <t>2026-04-28</t>
        </is>
      </c>
      <c r="B258" t="inlineStr">
        <is>
          <t>WB-200001380</t>
        </is>
      </c>
      <c r="C258" t="inlineStr">
        <is>
          <t>ABC-CLN-042</t>
        </is>
      </c>
      <c r="D258" t="inlineStr">
        <is>
          <t>Средство для пола 1л</t>
        </is>
      </c>
      <c r="E258" t="n">
        <v>-102</v>
      </c>
      <c r="F258" t="n">
        <v>380</v>
      </c>
      <c r="G258" t="inlineStr">
        <is>
          <t>Ozon Pay</t>
        </is>
      </c>
      <c r="H258" t="inlineStr">
        <is>
          <t>Y</t>
        </is>
      </c>
    </row>
    <row r="259">
      <c r="A259" t="inlineStr">
        <is>
          <t>2026-04-28</t>
        </is>
      </c>
      <c r="B259" t="inlineStr">
        <is>
          <t>WB-200002694</t>
        </is>
      </c>
      <c r="C259" t="inlineStr">
        <is>
          <t>ABC-LDR-034</t>
        </is>
      </c>
      <c r="D259" t="inlineStr">
        <is>
          <t>Детский гель для стирки 1.5л</t>
        </is>
      </c>
      <c r="E259" t="n">
        <v>128</v>
      </c>
      <c r="F259" t="n">
        <v>720</v>
      </c>
      <c r="G259" t="inlineStr">
        <is>
          <t>Ozon Pay</t>
        </is>
      </c>
      <c r="H259" t="inlineStr">
        <is>
          <t>N</t>
        </is>
      </c>
    </row>
    <row r="260">
      <c r="A260" t="inlineStr">
        <is>
          <t>2026-04-28</t>
        </is>
      </c>
      <c r="B260" t="inlineStr">
        <is>
          <t>WB-200004096</t>
        </is>
      </c>
      <c r="C260" t="inlineStr">
        <is>
          <t>ABC-LDR-027</t>
        </is>
      </c>
      <c r="D260" t="inlineStr">
        <is>
          <t>Кондиционер для белья 1л</t>
        </is>
      </c>
      <c r="E260" t="n">
        <v>33</v>
      </c>
      <c r="F260" t="n">
        <v>290</v>
      </c>
      <c r="G260" t="inlineStr">
        <is>
          <t>Ozon Pay</t>
        </is>
      </c>
      <c r="H260" t="inlineStr">
        <is>
          <t>N</t>
        </is>
      </c>
    </row>
    <row r="261">
      <c r="A261" t="inlineStr">
        <is>
          <t>2026-04-28</t>
        </is>
      </c>
      <c r="B261" t="inlineStr">
        <is>
          <t>WB-200004128</t>
        </is>
      </c>
      <c r="C261" t="inlineStr">
        <is>
          <t>ABC-LDR-027</t>
        </is>
      </c>
      <c r="D261" t="inlineStr">
        <is>
          <t>Кондиционер для белья 1л</t>
        </is>
      </c>
      <c r="E261" t="n">
        <v>131</v>
      </c>
      <c r="F261" t="n">
        <v>290</v>
      </c>
      <c r="G261" t="inlineStr">
        <is>
          <t>Карта</t>
        </is>
      </c>
      <c r="H261" t="inlineStr">
        <is>
          <t>N</t>
        </is>
      </c>
    </row>
    <row r="262">
      <c r="A262" t="inlineStr">
        <is>
          <t>2026-04-28</t>
        </is>
      </c>
      <c r="B262" t="inlineStr">
        <is>
          <t>WB-200004321</t>
        </is>
      </c>
      <c r="C262" t="inlineStr">
        <is>
          <t>ABC-LDR-027</t>
        </is>
      </c>
      <c r="D262" t="inlineStr">
        <is>
          <t>Кондиционер для белья 1л</t>
        </is>
      </c>
      <c r="E262" t="n">
        <v>-38</v>
      </c>
      <c r="F262" t="n">
        <v>261</v>
      </c>
      <c r="G262" t="inlineStr">
        <is>
          <t>Карта</t>
        </is>
      </c>
      <c r="H262" t="inlineStr">
        <is>
          <t>Y</t>
        </is>
      </c>
    </row>
    <row r="263">
      <c r="A263" t="inlineStr">
        <is>
          <t>2026-04-28</t>
        </is>
      </c>
      <c r="B263" t="inlineStr">
        <is>
          <t>WB-200005821</t>
        </is>
      </c>
      <c r="C263" t="inlineStr">
        <is>
          <t>ABC-DSH-018</t>
        </is>
      </c>
      <c r="D263" t="inlineStr">
        <is>
          <t>Средство для посуды 500мл</t>
        </is>
      </c>
      <c r="E263" t="n">
        <v>395</v>
      </c>
      <c r="F263" t="n">
        <v>223</v>
      </c>
      <c r="G263" t="inlineStr">
        <is>
          <t>Wallet</t>
        </is>
      </c>
      <c r="H263" t="inlineStr">
        <is>
          <t>N</t>
        </is>
      </c>
    </row>
    <row r="264">
      <c r="A264" t="inlineStr">
        <is>
          <t>2026-04-28</t>
        </is>
      </c>
      <c r="B264" t="inlineStr">
        <is>
          <t>WB-200007262</t>
        </is>
      </c>
      <c r="D264" t="inlineStr">
        <is>
          <t>Чистящий крем кухня 750 мл</t>
        </is>
      </c>
      <c r="E264" t="n">
        <v>43</v>
      </c>
      <c r="F264" t="n">
        <v>350</v>
      </c>
      <c r="G264" t="inlineStr">
        <is>
          <t>Wallet</t>
        </is>
      </c>
      <c r="H264" t="inlineStr">
        <is>
          <t>N</t>
        </is>
      </c>
    </row>
    <row r="265">
      <c r="A265" t="inlineStr">
        <is>
          <t>2026-04-28</t>
        </is>
      </c>
      <c r="B265" t="inlineStr">
        <is>
          <t>WB-200007288</t>
        </is>
      </c>
      <c r="D265" t="inlineStr">
        <is>
          <t>Чистящий крем кухня 750 мл</t>
        </is>
      </c>
      <c r="E265" t="n">
        <v>102</v>
      </c>
      <c r="F265" t="n">
        <v>350</v>
      </c>
      <c r="G265" t="inlineStr">
        <is>
          <t>Карта</t>
        </is>
      </c>
      <c r="H265" t="inlineStr">
        <is>
          <t>N</t>
        </is>
      </c>
    </row>
    <row r="266">
      <c r="A266" t="inlineStr">
        <is>
          <t>2026-04-28</t>
        </is>
      </c>
      <c r="B266" t="inlineStr">
        <is>
          <t>WB-200008868</t>
        </is>
      </c>
      <c r="C266" t="inlineStr">
        <is>
          <t>WND-009</t>
        </is>
      </c>
      <c r="D266" t="inlineStr">
        <is>
          <t>Очиститель стёкол 500мл</t>
        </is>
      </c>
      <c r="E266" t="n">
        <v>194</v>
      </c>
      <c r="F266" t="n">
        <v>220</v>
      </c>
      <c r="G266" t="inlineStr">
        <is>
          <t>Wallet</t>
        </is>
      </c>
      <c r="H266" t="inlineStr">
        <is>
          <t>N</t>
        </is>
      </c>
    </row>
    <row r="267">
      <c r="A267" t="inlineStr">
        <is>
          <t>2026-04-29</t>
        </is>
      </c>
      <c r="B267" t="inlineStr">
        <is>
          <t>WB-200001144</t>
        </is>
      </c>
      <c r="C267" t="inlineStr">
        <is>
          <t>ABC-CLN-042</t>
        </is>
      </c>
      <c r="D267" t="inlineStr">
        <is>
          <t>Средство для пола 1л</t>
        </is>
      </c>
      <c r="E267" t="n">
        <v>129</v>
      </c>
      <c r="F267" t="n">
        <v>380</v>
      </c>
      <c r="G267" t="inlineStr">
        <is>
          <t>Ozon Pay</t>
        </is>
      </c>
      <c r="H267" t="inlineStr">
        <is>
          <t>N</t>
        </is>
      </c>
    </row>
    <row r="268">
      <c r="A268" t="inlineStr">
        <is>
          <t>2026-04-29</t>
        </is>
      </c>
      <c r="B268" t="inlineStr">
        <is>
          <t>WB-200001182</t>
        </is>
      </c>
      <c r="C268" t="inlineStr">
        <is>
          <t>ABC-CLN-042</t>
        </is>
      </c>
      <c r="D268" t="inlineStr">
        <is>
          <t>Средство для пола 1л</t>
        </is>
      </c>
      <c r="E268" t="n">
        <v>214</v>
      </c>
      <c r="F268" t="n">
        <v>380</v>
      </c>
      <c r="G268" t="inlineStr">
        <is>
          <t>Wallet</t>
        </is>
      </c>
      <c r="H268" t="inlineStr">
        <is>
          <t>N</t>
        </is>
      </c>
    </row>
    <row r="269">
      <c r="A269" t="inlineStr">
        <is>
          <t>2026-04-29</t>
        </is>
      </c>
      <c r="B269" t="inlineStr">
        <is>
          <t>WB-200001461</t>
        </is>
      </c>
      <c r="C269" t="inlineStr">
        <is>
          <t>ABC-CLN-042</t>
        </is>
      </c>
      <c r="D269" t="inlineStr">
        <is>
          <t>Средство для пола 1л</t>
        </is>
      </c>
      <c r="E269" t="n">
        <v>-102</v>
      </c>
      <c r="F269" t="n">
        <v>361</v>
      </c>
      <c r="G269" t="inlineStr">
        <is>
          <t>Ozon Pay</t>
        </is>
      </c>
      <c r="H269" t="inlineStr">
        <is>
          <t>Y</t>
        </is>
      </c>
    </row>
    <row r="270">
      <c r="A270" t="inlineStr">
        <is>
          <t>2026-04-29</t>
        </is>
      </c>
      <c r="B270" t="inlineStr">
        <is>
          <t>WB-200002718</t>
        </is>
      </c>
      <c r="C270" t="inlineStr">
        <is>
          <t>ABC-LDR-034</t>
        </is>
      </c>
      <c r="D270" t="inlineStr">
        <is>
          <t>Детский гель для стирки 1.5л</t>
        </is>
      </c>
      <c r="E270" t="n">
        <v>128</v>
      </c>
      <c r="F270" t="n">
        <v>720</v>
      </c>
      <c r="G270" t="inlineStr">
        <is>
          <t>Wallet</t>
        </is>
      </c>
      <c r="H270" t="inlineStr">
        <is>
          <t>N</t>
        </is>
      </c>
    </row>
    <row r="271">
      <c r="A271" t="inlineStr">
        <is>
          <t>2026-04-29</t>
        </is>
      </c>
      <c r="B271" t="inlineStr">
        <is>
          <t>WB-200004164</t>
        </is>
      </c>
      <c r="C271" t="inlineStr">
        <is>
          <t>ABC-LDR-027</t>
        </is>
      </c>
      <c r="D271" t="inlineStr">
        <is>
          <t>Кондиционер для белья 1л</t>
        </is>
      </c>
      <c r="E271" t="n">
        <v>62</v>
      </c>
      <c r="F271" t="n">
        <v>290</v>
      </c>
      <c r="G271" t="inlineStr">
        <is>
          <t>Ozon Pay</t>
        </is>
      </c>
      <c r="H271" t="inlineStr">
        <is>
          <t>N</t>
        </is>
      </c>
    </row>
    <row r="272">
      <c r="A272" t="inlineStr">
        <is>
          <t>2026-04-29</t>
        </is>
      </c>
      <c r="B272" t="inlineStr">
        <is>
          <t>WB-200004177</t>
        </is>
      </c>
      <c r="C272" t="inlineStr">
        <is>
          <t>ABC-LDR-027</t>
        </is>
      </c>
      <c r="D272" t="inlineStr">
        <is>
          <t>Кондиционер для белья 1л</t>
        </is>
      </c>
      <c r="E272" t="n">
        <v>102</v>
      </c>
      <c r="F272" t="n">
        <v>290</v>
      </c>
      <c r="G272" t="inlineStr">
        <is>
          <t>Wallet</t>
        </is>
      </c>
      <c r="H272" t="inlineStr">
        <is>
          <t>N</t>
        </is>
      </c>
    </row>
    <row r="273">
      <c r="A273" t="inlineStr">
        <is>
          <t>2026-04-29</t>
        </is>
      </c>
      <c r="B273" t="inlineStr">
        <is>
          <t>WB-200005867</t>
        </is>
      </c>
      <c r="C273" t="inlineStr">
        <is>
          <t>ABC-DSH-018</t>
        </is>
      </c>
      <c r="D273" t="inlineStr">
        <is>
          <t>Средство для посуды 500мл</t>
        </is>
      </c>
      <c r="E273" t="n">
        <v>263</v>
      </c>
      <c r="F273" t="n">
        <v>240</v>
      </c>
      <c r="G273" t="inlineStr">
        <is>
          <t>Ozon Pay</t>
        </is>
      </c>
      <c r="H273" t="inlineStr">
        <is>
          <t>N</t>
        </is>
      </c>
    </row>
    <row r="274">
      <c r="A274" t="inlineStr">
        <is>
          <t>2026-04-29</t>
        </is>
      </c>
      <c r="B274" t="inlineStr">
        <is>
          <t>WB-200007329</t>
        </is>
      </c>
      <c r="D274" t="inlineStr">
        <is>
          <t>Чистящий крем кухня 750 мл</t>
        </is>
      </c>
      <c r="E274" t="n">
        <v>145</v>
      </c>
      <c r="F274" t="n">
        <v>350</v>
      </c>
      <c r="G274" t="inlineStr">
        <is>
          <t>Карта</t>
        </is>
      </c>
      <c r="H274" t="inlineStr">
        <is>
          <t>N</t>
        </is>
      </c>
    </row>
    <row r="275">
      <c r="A275" t="inlineStr">
        <is>
          <t>2026-04-29</t>
        </is>
      </c>
      <c r="B275" t="inlineStr">
        <is>
          <t>WB-200008914</t>
        </is>
      </c>
      <c r="C275" t="inlineStr">
        <is>
          <t>WND-009</t>
        </is>
      </c>
      <c r="D275" t="inlineStr">
        <is>
          <t>Очиститель стёкол 500мл</t>
        </is>
      </c>
      <c r="E275" t="n">
        <v>194</v>
      </c>
      <c r="F275" t="n">
        <v>220</v>
      </c>
      <c r="G275" t="inlineStr">
        <is>
          <t>Карта</t>
        </is>
      </c>
      <c r="H275" t="inlineStr">
        <is>
          <t>N</t>
        </is>
      </c>
    </row>
    <row r="276">
      <c r="A276" t="inlineStr">
        <is>
          <t>2026-04-30</t>
        </is>
      </c>
      <c r="B276" t="inlineStr">
        <is>
          <t>WB-200001199</t>
        </is>
      </c>
      <c r="C276" t="inlineStr">
        <is>
          <t>ABC-CLN-042</t>
        </is>
      </c>
      <c r="D276" t="inlineStr">
        <is>
          <t>Средство для пола 1л</t>
        </is>
      </c>
      <c r="E276" t="n">
        <v>274</v>
      </c>
      <c r="F276" t="n">
        <v>380</v>
      </c>
      <c r="G276" t="inlineStr">
        <is>
          <t>Карта</t>
        </is>
      </c>
      <c r="H276" t="inlineStr">
        <is>
          <t>N</t>
        </is>
      </c>
    </row>
    <row r="277">
      <c r="A277" t="inlineStr">
        <is>
          <t>2026-04-30</t>
        </is>
      </c>
      <c r="B277" t="inlineStr">
        <is>
          <t>WB-200001232</t>
        </is>
      </c>
      <c r="C277" t="inlineStr">
        <is>
          <t>ABC-CLN-042</t>
        </is>
      </c>
      <c r="D277" t="inlineStr">
        <is>
          <t>Средство для пола 1л</t>
        </is>
      </c>
      <c r="E277" t="n">
        <v>69</v>
      </c>
      <c r="F277" t="n">
        <v>380</v>
      </c>
      <c r="G277" t="inlineStr">
        <is>
          <t>Ozon Pay</t>
        </is>
      </c>
      <c r="H277" t="inlineStr">
        <is>
          <t>N</t>
        </is>
      </c>
    </row>
    <row r="278">
      <c r="A278" t="inlineStr">
        <is>
          <t>2026-04-30</t>
        </is>
      </c>
      <c r="B278" t="inlineStr">
        <is>
          <t>WB-200001271</t>
        </is>
      </c>
      <c r="C278" t="inlineStr">
        <is>
          <t>ABC-CLN-042</t>
        </is>
      </c>
      <c r="D278" t="inlineStr">
        <is>
          <t>Средство для пола 1л</t>
        </is>
      </c>
      <c r="E278" t="n">
        <v>-102</v>
      </c>
      <c r="F278" t="n">
        <v>380</v>
      </c>
      <c r="G278" t="inlineStr">
        <is>
          <t>Карта</t>
        </is>
      </c>
      <c r="H278" t="inlineStr">
        <is>
          <t>Y</t>
        </is>
      </c>
    </row>
    <row r="279">
      <c r="A279" t="inlineStr">
        <is>
          <t>2026-04-30</t>
        </is>
      </c>
      <c r="B279" t="inlineStr">
        <is>
          <t>WB-200001333</t>
        </is>
      </c>
      <c r="C279" t="inlineStr">
        <is>
          <t>ABC-CLN-042</t>
        </is>
      </c>
      <c r="D279" t="inlineStr">
        <is>
          <t>Средство для пола 1л</t>
        </is>
      </c>
      <c r="E279" t="n">
        <v>-102</v>
      </c>
      <c r="F279" t="n">
        <v>380</v>
      </c>
      <c r="G279" t="inlineStr">
        <is>
          <t>Ozon Pay</t>
        </is>
      </c>
      <c r="H279" t="inlineStr">
        <is>
          <t>Y</t>
        </is>
      </c>
    </row>
    <row r="280">
      <c r="A280" t="inlineStr">
        <is>
          <t>2026-04-30</t>
        </is>
      </c>
      <c r="B280" t="inlineStr">
        <is>
          <t>WB-200001477</t>
        </is>
      </c>
      <c r="C280" t="inlineStr">
        <is>
          <t>ABC-CLN-042</t>
        </is>
      </c>
      <c r="D280" t="inlineStr">
        <is>
          <t>Средство для пола 1л</t>
        </is>
      </c>
      <c r="E280" t="n">
        <v>-108</v>
      </c>
      <c r="F280" t="n">
        <v>380</v>
      </c>
      <c r="G280" t="inlineStr">
        <is>
          <t>Карта</t>
        </is>
      </c>
      <c r="H280" t="inlineStr">
        <is>
          <t>Y</t>
        </is>
      </c>
    </row>
    <row r="281">
      <c r="A281" t="inlineStr">
        <is>
          <t>2026-04-30</t>
        </is>
      </c>
      <c r="B281" t="inlineStr">
        <is>
          <t>WB-200002753</t>
        </is>
      </c>
      <c r="C281" t="inlineStr">
        <is>
          <t>ABC-LDR-034</t>
        </is>
      </c>
      <c r="D281" t="inlineStr">
        <is>
          <t>Детский гель для стирки 1.5л</t>
        </is>
      </c>
      <c r="E281" t="n">
        <v>26</v>
      </c>
      <c r="F281" t="n">
        <v>720</v>
      </c>
      <c r="G281" t="inlineStr">
        <is>
          <t>Ozon Pay</t>
        </is>
      </c>
      <c r="H281" t="inlineStr">
        <is>
          <t>N</t>
        </is>
      </c>
    </row>
    <row r="282">
      <c r="A282" t="inlineStr">
        <is>
          <t>2026-04-30</t>
        </is>
      </c>
      <c r="B282" t="inlineStr">
        <is>
          <t>WB-200002768</t>
        </is>
      </c>
      <c r="C282" t="inlineStr">
        <is>
          <t>ABC-LDR-034</t>
        </is>
      </c>
      <c r="D282" t="inlineStr">
        <is>
          <t>Детский гель для стирки 1.5л</t>
        </is>
      </c>
      <c r="E282" t="n">
        <v>102</v>
      </c>
      <c r="F282" t="n">
        <v>720</v>
      </c>
      <c r="G282" t="inlineStr">
        <is>
          <t>Карта</t>
        </is>
      </c>
      <c r="H282" t="inlineStr">
        <is>
          <t>N</t>
        </is>
      </c>
    </row>
    <row r="283">
      <c r="A283" t="inlineStr">
        <is>
          <t>2026-04-30</t>
        </is>
      </c>
      <c r="B283" t="inlineStr">
        <is>
          <t>WB-200002853</t>
        </is>
      </c>
      <c r="C283" t="inlineStr">
        <is>
          <t>ABC-LDR-034</t>
        </is>
      </c>
      <c r="D283" t="inlineStr">
        <is>
          <t>Детский гель для стирки 1.5л</t>
        </is>
      </c>
      <c r="E283" t="n">
        <v>-100</v>
      </c>
      <c r="F283" t="n">
        <v>720</v>
      </c>
      <c r="G283" t="inlineStr">
        <is>
          <t>Карта</t>
        </is>
      </c>
      <c r="H283" t="inlineStr">
        <is>
          <t>Y</t>
        </is>
      </c>
    </row>
    <row r="284">
      <c r="A284" t="inlineStr">
        <is>
          <t>2026-04-30</t>
        </is>
      </c>
      <c r="B284" t="inlineStr">
        <is>
          <t>WB-200004201</t>
        </is>
      </c>
      <c r="C284" t="inlineStr">
        <is>
          <t>ABC-LDR-027</t>
        </is>
      </c>
      <c r="D284" t="inlineStr">
        <is>
          <t>Кондиционер для белья 1л</t>
        </is>
      </c>
      <c r="E284" t="n">
        <v>33</v>
      </c>
      <c r="F284" t="n">
        <v>290</v>
      </c>
      <c r="G284" t="inlineStr">
        <is>
          <t>Ozon Pay</t>
        </is>
      </c>
      <c r="H284" t="inlineStr">
        <is>
          <t>N</t>
        </is>
      </c>
    </row>
    <row r="285">
      <c r="A285" t="inlineStr">
        <is>
          <t>2026-04-30</t>
        </is>
      </c>
      <c r="B285" t="inlineStr">
        <is>
          <t>WB-200004243</t>
        </is>
      </c>
      <c r="C285" t="inlineStr">
        <is>
          <t>ABC-LDR-027</t>
        </is>
      </c>
      <c r="D285" t="inlineStr">
        <is>
          <t>Кондиционер для белья 1л</t>
        </is>
      </c>
      <c r="E285" t="n">
        <v>131</v>
      </c>
      <c r="F285" t="n">
        <v>290</v>
      </c>
      <c r="G285" t="inlineStr">
        <is>
          <t>Карта</t>
        </is>
      </c>
      <c r="H285" t="inlineStr">
        <is>
          <t>N</t>
        </is>
      </c>
    </row>
    <row r="286">
      <c r="A286" t="inlineStr">
        <is>
          <t>2026-04-30</t>
        </is>
      </c>
      <c r="B286" t="inlineStr">
        <is>
          <t>WB-200004303</t>
        </is>
      </c>
      <c r="C286" t="inlineStr">
        <is>
          <t>ABC-LDR-027</t>
        </is>
      </c>
      <c r="D286" t="inlineStr">
        <is>
          <t>Кондиционер для белья 1л</t>
        </is>
      </c>
      <c r="E286" t="n">
        <v>-38</v>
      </c>
      <c r="F286" t="n">
        <v>290</v>
      </c>
      <c r="G286" t="inlineStr">
        <is>
          <t>Wallet</t>
        </is>
      </c>
      <c r="H286" t="inlineStr">
        <is>
          <t>Y</t>
        </is>
      </c>
    </row>
    <row r="287">
      <c r="A287" t="inlineStr">
        <is>
          <t>2026-04-30</t>
        </is>
      </c>
      <c r="B287" t="inlineStr">
        <is>
          <t>WB-200004374</t>
        </is>
      </c>
      <c r="C287" t="inlineStr">
        <is>
          <t>ABC-LDR-027</t>
        </is>
      </c>
      <c r="D287" t="inlineStr">
        <is>
          <t>Кондиционер для белья 1л</t>
        </is>
      </c>
      <c r="E287" t="n">
        <v>-38</v>
      </c>
      <c r="F287" t="n">
        <v>290</v>
      </c>
      <c r="G287" t="inlineStr">
        <is>
          <t>Wallet</t>
        </is>
      </c>
      <c r="H287" t="inlineStr">
        <is>
          <t>Y</t>
        </is>
      </c>
    </row>
    <row r="288">
      <c r="A288" t="inlineStr">
        <is>
          <t>2026-04-30</t>
        </is>
      </c>
      <c r="B288" t="inlineStr">
        <is>
          <t>WB-200004406</t>
        </is>
      </c>
      <c r="C288" t="inlineStr">
        <is>
          <t>ABC-LDR-027</t>
        </is>
      </c>
      <c r="D288" t="inlineStr">
        <is>
          <t>Кондиционер для белья 1л</t>
        </is>
      </c>
      <c r="E288" t="n">
        <v>-38</v>
      </c>
      <c r="F288" t="n">
        <v>290</v>
      </c>
      <c r="G288" t="inlineStr">
        <is>
          <t>Ozon Pay</t>
        </is>
      </c>
      <c r="H288" t="inlineStr">
        <is>
          <t>Y</t>
        </is>
      </c>
    </row>
    <row r="289">
      <c r="A289" t="inlineStr">
        <is>
          <t>2026-04-30</t>
        </is>
      </c>
      <c r="B289" t="inlineStr">
        <is>
          <t>WB-200004430</t>
        </is>
      </c>
      <c r="C289" t="inlineStr">
        <is>
          <t>ABC-LDR-027</t>
        </is>
      </c>
      <c r="D289" t="inlineStr">
        <is>
          <t>Кондиционер для белья 1л</t>
        </is>
      </c>
      <c r="E289" t="n">
        <v>-42</v>
      </c>
      <c r="F289" t="n">
        <v>261</v>
      </c>
      <c r="G289" t="inlineStr">
        <is>
          <t>Ozon Pay</t>
        </is>
      </c>
      <c r="H289" t="inlineStr">
        <is>
          <t>Y</t>
        </is>
      </c>
    </row>
    <row r="290">
      <c r="A290" t="inlineStr">
        <is>
          <t>2026-04-30</t>
        </is>
      </c>
      <c r="B290" t="inlineStr">
        <is>
          <t>WB-200005892</t>
        </is>
      </c>
      <c r="C290" t="inlineStr">
        <is>
          <t>ABC-DSH-018</t>
        </is>
      </c>
      <c r="D290" t="inlineStr">
        <is>
          <t>Средство для посуды 500мл</t>
        </is>
      </c>
      <c r="E290" t="n">
        <v>186</v>
      </c>
      <c r="F290" t="n">
        <v>240</v>
      </c>
      <c r="G290" t="inlineStr">
        <is>
          <t>Карта</t>
        </is>
      </c>
      <c r="H290" t="inlineStr">
        <is>
          <t>N</t>
        </is>
      </c>
    </row>
    <row r="291">
      <c r="A291" t="inlineStr">
        <is>
          <t>2026-04-30</t>
        </is>
      </c>
      <c r="B291" t="inlineStr">
        <is>
          <t>WB-200005905</t>
        </is>
      </c>
      <c r="C291" t="inlineStr">
        <is>
          <t>ABC-DSH-018</t>
        </is>
      </c>
      <c r="D291" t="inlineStr">
        <is>
          <t>Средство для посуды 500мл</t>
        </is>
      </c>
      <c r="E291" t="n">
        <v>77</v>
      </c>
      <c r="F291" t="n">
        <v>240</v>
      </c>
      <c r="G291" t="inlineStr">
        <is>
          <t>Wallet</t>
        </is>
      </c>
      <c r="H291" t="inlineStr">
        <is>
          <t>N</t>
        </is>
      </c>
    </row>
    <row r="292">
      <c r="A292" t="inlineStr">
        <is>
          <t>2026-04-30</t>
        </is>
      </c>
      <c r="B292" t="inlineStr">
        <is>
          <t>WB-200006059</t>
        </is>
      </c>
      <c r="C292" t="inlineStr">
        <is>
          <t>ABC-DSH-018</t>
        </is>
      </c>
      <c r="D292" t="inlineStr">
        <is>
          <t>Средство для посуды 500мл</t>
        </is>
      </c>
      <c r="E292" t="n">
        <v>-80</v>
      </c>
      <c r="F292" t="n">
        <v>223</v>
      </c>
      <c r="G292" t="inlineStr">
        <is>
          <t>Wallet</t>
        </is>
      </c>
      <c r="H292" t="inlineStr">
        <is>
          <t>Y</t>
        </is>
      </c>
    </row>
    <row r="293">
      <c r="A293" t="inlineStr">
        <is>
          <t>2026-04-30</t>
        </is>
      </c>
      <c r="B293" t="inlineStr">
        <is>
          <t>WB-200006085</t>
        </is>
      </c>
      <c r="C293" t="inlineStr">
        <is>
          <t>ABC-DSH-018</t>
        </is>
      </c>
      <c r="D293" t="inlineStr">
        <is>
          <t>Средство для посуды 500мл</t>
        </is>
      </c>
      <c r="E293" t="n">
        <v>-80</v>
      </c>
      <c r="F293" t="n">
        <v>223</v>
      </c>
      <c r="G293" t="inlineStr">
        <is>
          <t>Wallet</t>
        </is>
      </c>
      <c r="H293" t="inlineStr">
        <is>
          <t>Y</t>
        </is>
      </c>
    </row>
    <row r="294">
      <c r="A294" t="inlineStr">
        <is>
          <t>2026-04-30</t>
        </is>
      </c>
      <c r="B294" t="inlineStr">
        <is>
          <t>WB-200007367</t>
        </is>
      </c>
      <c r="D294" t="inlineStr">
        <is>
          <t>Чистящий крем кухня 750 мл</t>
        </is>
      </c>
      <c r="E294" t="n">
        <v>116</v>
      </c>
      <c r="F294" t="n">
        <v>350</v>
      </c>
      <c r="G294" t="inlineStr">
        <is>
          <t>Карта</t>
        </is>
      </c>
      <c r="H294" t="inlineStr">
        <is>
          <t>N</t>
        </is>
      </c>
    </row>
    <row r="295">
      <c r="A295" t="inlineStr">
        <is>
          <t>2026-04-30</t>
        </is>
      </c>
      <c r="B295" t="inlineStr">
        <is>
          <t>WB-200007401</t>
        </is>
      </c>
      <c r="D295" t="inlineStr">
        <is>
          <t>Чистящий крем кухня 750 мл</t>
        </is>
      </c>
      <c r="E295" t="n">
        <v>29</v>
      </c>
      <c r="F295" t="n">
        <v>350</v>
      </c>
      <c r="G295" t="inlineStr">
        <is>
          <t>Ozon Pay</t>
        </is>
      </c>
      <c r="H295" t="inlineStr">
        <is>
          <t>N</t>
        </is>
      </c>
    </row>
    <row r="296">
      <c r="A296" t="inlineStr">
        <is>
          <t>2026-04-30</t>
        </is>
      </c>
      <c r="B296" t="inlineStr">
        <is>
          <t>WB-200007543</t>
        </is>
      </c>
      <c r="D296" t="inlineStr">
        <is>
          <t>Чистящий крем кухня 750 мл</t>
        </is>
      </c>
      <c r="E296" t="n">
        <v>-48</v>
      </c>
      <c r="F296" t="n">
        <v>350</v>
      </c>
      <c r="G296" t="inlineStr">
        <is>
          <t>Ozon Pay</t>
        </is>
      </c>
      <c r="H296" t="inlineStr">
        <is>
          <t>Y</t>
        </is>
      </c>
    </row>
    <row r="297">
      <c r="A297" t="inlineStr">
        <is>
          <t>2026-04-30</t>
        </is>
      </c>
      <c r="B297" t="inlineStr">
        <is>
          <t>WB-200008935</t>
        </is>
      </c>
      <c r="C297" t="inlineStr">
        <is>
          <t>WND-009</t>
        </is>
      </c>
      <c r="D297" t="inlineStr">
        <is>
          <t>Очиститель стёкол 500мл</t>
        </is>
      </c>
      <c r="E297" t="n">
        <v>57</v>
      </c>
      <c r="F297" t="n">
        <v>220</v>
      </c>
      <c r="G297" t="inlineStr">
        <is>
          <t>Wallet</t>
        </is>
      </c>
      <c r="H297" t="inlineStr">
        <is>
          <t>N</t>
        </is>
      </c>
    </row>
    <row r="298">
      <c r="A298" t="inlineStr">
        <is>
          <t>2026-04-30</t>
        </is>
      </c>
      <c r="B298" t="inlineStr">
        <is>
          <t>WB-200008976</t>
        </is>
      </c>
      <c r="C298" t="inlineStr">
        <is>
          <t>WND-009</t>
        </is>
      </c>
      <c r="D298" t="inlineStr">
        <is>
          <t>Очиститель стёкол 500мл</t>
        </is>
      </c>
      <c r="E298" t="n">
        <v>137</v>
      </c>
      <c r="F298" t="n">
        <v>220</v>
      </c>
      <c r="G298" t="inlineStr">
        <is>
          <t>Карта</t>
        </is>
      </c>
      <c r="H298" t="inlineStr">
        <is>
          <t>N</t>
        </is>
      </c>
    </row>
    <row r="299">
      <c r="A299" t="inlineStr">
        <is>
          <t>2026-04-30</t>
        </is>
      </c>
      <c r="B299" t="inlineStr">
        <is>
          <t>WB-200009092</t>
        </is>
      </c>
      <c r="C299" t="inlineStr">
        <is>
          <t>WND-009</t>
        </is>
      </c>
      <c r="D299" t="inlineStr">
        <is>
          <t>Очиститель стёкол 500мл</t>
        </is>
      </c>
      <c r="E299" t="n">
        <v>-128</v>
      </c>
      <c r="F299" t="n">
        <v>220</v>
      </c>
      <c r="G299" t="inlineStr">
        <is>
          <t>Карта</t>
        </is>
      </c>
      <c r="H299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30" customWidth="1" min="4" max="4"/>
    <col width="16" customWidth="1" min="5" max="5"/>
    <col width="25" customWidth="1" min="6" max="6"/>
    <col width="21" customWidth="1" min="7" max="7"/>
  </cols>
  <sheetData>
    <row r="1">
      <c r="A1" s="1" t="inlineStr">
        <is>
          <t>Дата производства</t>
        </is>
      </c>
      <c r="B1" s="1" t="inlineStr">
        <is>
          <t>Партия №</t>
        </is>
      </c>
      <c r="C1" s="1" t="inlineStr">
        <is>
          <t>SKU</t>
        </is>
      </c>
      <c r="D1" s="1" t="inlineStr">
        <is>
          <t>Наименование</t>
        </is>
      </c>
      <c r="E1" s="1" t="inlineStr">
        <is>
          <t>Кол-во, шт</t>
        </is>
      </c>
      <c r="F1" s="1" t="inlineStr">
        <is>
          <t>Себестоимость партии, ₽</t>
        </is>
      </c>
      <c r="G1" s="1" t="inlineStr">
        <is>
          <t>Себестоимость, ₽/шт</t>
        </is>
      </c>
    </row>
    <row r="2">
      <c r="A2" t="inlineStr">
        <is>
          <t>2026-03-29</t>
        </is>
      </c>
      <c r="B2" t="inlineStr">
        <is>
          <t>П-24001</t>
        </is>
      </c>
      <c r="C2" t="inlineStr">
        <is>
          <t>ABC-CLN-042</t>
        </is>
      </c>
      <c r="D2" t="inlineStr">
        <is>
          <t>Средство для пола 1л</t>
        </is>
      </c>
      <c r="E2" t="n">
        <v>8600</v>
      </c>
      <c r="F2" t="n">
        <v>968790</v>
      </c>
      <c r="G2" t="n">
        <v>112.65</v>
      </c>
    </row>
    <row r="3">
      <c r="A3" t="inlineStr">
        <is>
          <t>2026-04-17</t>
        </is>
      </c>
      <c r="B3" t="inlineStr">
        <is>
          <t>П-24002</t>
        </is>
      </c>
      <c r="C3" t="inlineStr">
        <is>
          <t>ABC-CLN-042</t>
        </is>
      </c>
      <c r="D3" t="inlineStr">
        <is>
          <t>Средство для пола 1л</t>
        </is>
      </c>
      <c r="E3" t="n">
        <v>11500</v>
      </c>
      <c r="F3" t="n">
        <v>1270750</v>
      </c>
      <c r="G3" t="n">
        <v>110.5</v>
      </c>
    </row>
    <row r="4">
      <c r="A4" t="inlineStr">
        <is>
          <t>2026-04-19</t>
        </is>
      </c>
      <c r="B4" t="inlineStr">
        <is>
          <t>П-24003</t>
        </is>
      </c>
      <c r="C4" t="inlineStr">
        <is>
          <t>ABC-CLN-042</t>
        </is>
      </c>
      <c r="D4" t="inlineStr">
        <is>
          <t>Средство для пола 1л</t>
        </is>
      </c>
      <c r="E4" t="n">
        <v>10900</v>
      </c>
      <c r="F4" t="n">
        <v>1209900</v>
      </c>
      <c r="G4" t="n">
        <v>111</v>
      </c>
    </row>
    <row r="5">
      <c r="A5" t="inlineStr">
        <is>
          <t>2026-03-26</t>
        </is>
      </c>
      <c r="B5" t="inlineStr">
        <is>
          <t>П-24004</t>
        </is>
      </c>
      <c r="C5" t="inlineStr">
        <is>
          <t>ABC-LDR-034</t>
        </is>
      </c>
      <c r="D5" t="inlineStr">
        <is>
          <t>Детский гель для стирки 1.5л</t>
        </is>
      </c>
      <c r="E5" t="n">
        <v>2800</v>
      </c>
      <c r="F5" t="n">
        <v>629300</v>
      </c>
      <c r="G5" t="n">
        <v>224.75</v>
      </c>
    </row>
    <row r="6">
      <c r="A6" t="inlineStr">
        <is>
          <t>2026-04-02</t>
        </is>
      </c>
      <c r="B6" t="inlineStr">
        <is>
          <t>П-24005</t>
        </is>
      </c>
      <c r="C6" t="inlineStr">
        <is>
          <t>ABC-LDR-034</t>
        </is>
      </c>
      <c r="D6" t="inlineStr">
        <is>
          <t>Детский гель для стирки 1.5л</t>
        </is>
      </c>
      <c r="E6" t="n">
        <v>3500</v>
      </c>
      <c r="F6" t="n">
        <v>785505</v>
      </c>
      <c r="G6" t="n">
        <v>224.43</v>
      </c>
    </row>
    <row r="7">
      <c r="A7" t="inlineStr">
        <is>
          <t>2026-04-13</t>
        </is>
      </c>
      <c r="B7" t="inlineStr">
        <is>
          <t>П-24006</t>
        </is>
      </c>
      <c r="C7" t="inlineStr">
        <is>
          <t>ABC-LDR-034</t>
        </is>
      </c>
      <c r="D7" t="inlineStr">
        <is>
          <t>Детский гель для стирки 1.5л</t>
        </is>
      </c>
      <c r="E7" t="n">
        <v>4500</v>
      </c>
      <c r="F7" t="n">
        <v>982035</v>
      </c>
      <c r="G7" t="n">
        <v>218.23</v>
      </c>
    </row>
    <row r="8">
      <c r="A8" t="inlineStr">
        <is>
          <t>2026-03-28</t>
        </is>
      </c>
      <c r="B8" t="inlineStr">
        <is>
          <t>П-24007</t>
        </is>
      </c>
      <c r="C8" t="inlineStr">
        <is>
          <t>ABC-LDR-027</t>
        </is>
      </c>
      <c r="D8" t="inlineStr">
        <is>
          <t>Кондиционер для белья 1л</t>
        </is>
      </c>
      <c r="E8" t="n">
        <v>2400</v>
      </c>
      <c r="F8" t="n">
        <v>241848</v>
      </c>
      <c r="G8" t="n">
        <v>100.77</v>
      </c>
    </row>
    <row r="9">
      <c r="A9" t="inlineStr">
        <is>
          <t>2026-03-29</t>
        </is>
      </c>
      <c r="B9" t="inlineStr">
        <is>
          <t>П-24008</t>
        </is>
      </c>
      <c r="C9" t="inlineStr">
        <is>
          <t>ABC-LDR-027</t>
        </is>
      </c>
      <c r="D9" t="inlineStr">
        <is>
          <t>Кондиционер для белья 1л</t>
        </is>
      </c>
      <c r="E9" t="n">
        <v>2800</v>
      </c>
      <c r="F9" t="n">
        <v>304220</v>
      </c>
      <c r="G9" t="n">
        <v>108.65</v>
      </c>
    </row>
    <row r="10">
      <c r="A10" t="inlineStr">
        <is>
          <t>2026-03-30</t>
        </is>
      </c>
      <c r="B10" t="inlineStr">
        <is>
          <t>П-24009</t>
        </is>
      </c>
      <c r="C10" t="inlineStr">
        <is>
          <t>ABC-LDR-027</t>
        </is>
      </c>
      <c r="D10" t="inlineStr">
        <is>
          <t>Кондиционер для белья 1л</t>
        </is>
      </c>
      <c r="E10" t="n">
        <v>1400</v>
      </c>
      <c r="F10" t="n">
        <v>148526</v>
      </c>
      <c r="G10" t="n">
        <v>106.09</v>
      </c>
    </row>
    <row r="11">
      <c r="A11" t="inlineStr">
        <is>
          <t>2026-04-02</t>
        </is>
      </c>
      <c r="B11" t="inlineStr">
        <is>
          <t>П-24010</t>
        </is>
      </c>
      <c r="C11" t="inlineStr">
        <is>
          <t>ABC-LDR-027</t>
        </is>
      </c>
      <c r="D11" t="inlineStr">
        <is>
          <t>Кондиционер для белья 1л</t>
        </is>
      </c>
      <c r="E11" t="n">
        <v>2800</v>
      </c>
      <c r="F11" t="n">
        <v>303016</v>
      </c>
      <c r="G11" t="n">
        <v>108.22</v>
      </c>
    </row>
    <row r="12">
      <c r="A12" t="inlineStr">
        <is>
          <t>2026-04-06</t>
        </is>
      </c>
      <c r="B12" t="inlineStr">
        <is>
          <t>П-24011</t>
        </is>
      </c>
      <c r="C12" t="inlineStr">
        <is>
          <t>ABC-LDR-027</t>
        </is>
      </c>
      <c r="D12" t="inlineStr">
        <is>
          <t>Кондиционер для белья 1л</t>
        </is>
      </c>
      <c r="E12" t="n">
        <v>2600</v>
      </c>
      <c r="F12" t="n">
        <v>279266</v>
      </c>
      <c r="G12" t="n">
        <v>107.41</v>
      </c>
    </row>
    <row r="13">
      <c r="A13" t="inlineStr">
        <is>
          <t>2026-04-08</t>
        </is>
      </c>
      <c r="B13" t="inlineStr">
        <is>
          <t>П-24012</t>
        </is>
      </c>
      <c r="C13" t="inlineStr">
        <is>
          <t>ABC-LDR-027</t>
        </is>
      </c>
      <c r="D13" t="inlineStr">
        <is>
          <t>Кондиционер для белья 1л</t>
        </is>
      </c>
      <c r="E13" t="n">
        <v>2000</v>
      </c>
      <c r="F13" t="n">
        <v>210760</v>
      </c>
      <c r="G13" t="n">
        <v>105.38</v>
      </c>
    </row>
    <row r="14">
      <c r="A14" t="inlineStr">
        <is>
          <t>2026-03-27</t>
        </is>
      </c>
      <c r="B14" t="inlineStr">
        <is>
          <t>П-24013</t>
        </is>
      </c>
      <c r="C14" t="inlineStr">
        <is>
          <t>ABC-DSH-018</t>
        </is>
      </c>
      <c r="D14" t="inlineStr">
        <is>
          <t>Средство для посуды 500мл</t>
        </is>
      </c>
      <c r="E14" t="n">
        <v>3000</v>
      </c>
      <c r="F14" t="n">
        <v>232980</v>
      </c>
      <c r="G14" t="n">
        <v>77.66</v>
      </c>
    </row>
    <row r="15">
      <c r="A15" t="inlineStr">
        <is>
          <t>2026-03-28</t>
        </is>
      </c>
      <c r="B15" t="inlineStr">
        <is>
          <t>П-24014</t>
        </is>
      </c>
      <c r="C15" t="inlineStr">
        <is>
          <t>ABC-DSH-018</t>
        </is>
      </c>
      <c r="D15" t="inlineStr">
        <is>
          <t>Средство для посуды 500мл</t>
        </is>
      </c>
      <c r="E15" t="n">
        <v>3700</v>
      </c>
      <c r="F15" t="n">
        <v>287675</v>
      </c>
      <c r="G15" t="n">
        <v>77.75</v>
      </c>
    </row>
    <row r="16">
      <c r="A16" t="inlineStr">
        <is>
          <t>2026-04-03</t>
        </is>
      </c>
      <c r="B16" t="inlineStr">
        <is>
          <t>П-24015</t>
        </is>
      </c>
      <c r="C16" t="inlineStr">
        <is>
          <t>ABC-DSH-018</t>
        </is>
      </c>
      <c r="D16" t="inlineStr">
        <is>
          <t>Средство для посуды 500мл</t>
        </is>
      </c>
      <c r="E16" t="n">
        <v>4900</v>
      </c>
      <c r="F16" t="n">
        <v>363090</v>
      </c>
      <c r="G16" t="n">
        <v>74.09999999999999</v>
      </c>
    </row>
    <row r="17">
      <c r="A17" t="inlineStr">
        <is>
          <t>2026-04-05</t>
        </is>
      </c>
      <c r="B17" t="inlineStr">
        <is>
          <t>П-24016</t>
        </is>
      </c>
      <c r="C17" t="inlineStr">
        <is>
          <t>ABC-DSH-018</t>
        </is>
      </c>
      <c r="D17" t="inlineStr">
        <is>
          <t>Средство для посуды 500мл</t>
        </is>
      </c>
      <c r="E17" t="n">
        <v>5800</v>
      </c>
      <c r="F17" t="n">
        <v>432970</v>
      </c>
      <c r="G17" t="n">
        <v>74.65000000000001</v>
      </c>
    </row>
    <row r="18">
      <c r="A18" t="inlineStr">
        <is>
          <t>2026-04-17</t>
        </is>
      </c>
      <c r="B18" t="inlineStr">
        <is>
          <t>П-24017</t>
        </is>
      </c>
      <c r="C18" t="inlineStr">
        <is>
          <t>ABC-DSH-018</t>
        </is>
      </c>
      <c r="D18" t="inlineStr">
        <is>
          <t>Средство для посуды 500мл</t>
        </is>
      </c>
      <c r="E18" t="n">
        <v>3900</v>
      </c>
      <c r="F18" t="n">
        <v>302289</v>
      </c>
      <c r="G18" t="n">
        <v>77.51000000000001</v>
      </c>
    </row>
    <row r="19">
      <c r="A19" t="inlineStr">
        <is>
          <t>2026-04-20</t>
        </is>
      </c>
      <c r="B19" t="inlineStr">
        <is>
          <t>П-24018</t>
        </is>
      </c>
      <c r="C19" t="inlineStr">
        <is>
          <t>ABC-DSH-018</t>
        </is>
      </c>
      <c r="D19" t="inlineStr">
        <is>
          <t>Средство для посуды 500мл</t>
        </is>
      </c>
      <c r="E19" t="n">
        <v>3300</v>
      </c>
      <c r="F19" t="n">
        <v>239151</v>
      </c>
      <c r="G19" t="n">
        <v>72.47</v>
      </c>
    </row>
    <row r="20">
      <c r="A20" t="inlineStr">
        <is>
          <t>2026-04-01</t>
        </is>
      </c>
      <c r="B20" t="inlineStr">
        <is>
          <t>П-24019</t>
        </is>
      </c>
      <c r="C20" t="inlineStr">
        <is>
          <t>ABC-KIT-051</t>
        </is>
      </c>
      <c r="D20" t="inlineStr">
        <is>
          <t>Чистящий крем кухня 750мл</t>
        </is>
      </c>
      <c r="E20" t="n">
        <v>1700</v>
      </c>
      <c r="F20" t="n">
        <v>184739</v>
      </c>
      <c r="G20" t="n">
        <v>108.67</v>
      </c>
    </row>
    <row r="21">
      <c r="A21" t="inlineStr">
        <is>
          <t>2026-04-03</t>
        </is>
      </c>
      <c r="B21" t="inlineStr">
        <is>
          <t>П-24020</t>
        </is>
      </c>
      <c r="C21" t="inlineStr">
        <is>
          <t>ABC-KIT-051</t>
        </is>
      </c>
      <c r="D21" t="inlineStr">
        <is>
          <t>Чистящий крем кухня 750мл</t>
        </is>
      </c>
      <c r="E21" t="n">
        <v>1900</v>
      </c>
      <c r="F21" t="n">
        <v>219222</v>
      </c>
      <c r="G21" t="n">
        <v>115.38</v>
      </c>
    </row>
    <row r="22">
      <c r="A22" t="inlineStr">
        <is>
          <t>2026-04-10</t>
        </is>
      </c>
      <c r="B22" t="inlineStr">
        <is>
          <t>П-24021</t>
        </is>
      </c>
      <c r="C22" t="inlineStr">
        <is>
          <t>ABC-KIT-051</t>
        </is>
      </c>
      <c r="D22" t="inlineStr">
        <is>
          <t>Чистящий крем кухня 750мл</t>
        </is>
      </c>
      <c r="E22" t="n">
        <v>3100</v>
      </c>
      <c r="F22" t="n">
        <v>345774</v>
      </c>
      <c r="G22" t="n">
        <v>111.54</v>
      </c>
    </row>
    <row r="23">
      <c r="A23" t="inlineStr">
        <is>
          <t>2026-04-13</t>
        </is>
      </c>
      <c r="B23" t="inlineStr">
        <is>
          <t>П-24022</t>
        </is>
      </c>
      <c r="C23" t="inlineStr">
        <is>
          <t>ABC-KIT-051</t>
        </is>
      </c>
      <c r="D23" t="inlineStr">
        <is>
          <t>Чистящий крем кухня 750мл</t>
        </is>
      </c>
      <c r="E23" t="n">
        <v>2600</v>
      </c>
      <c r="F23" t="n">
        <v>287638</v>
      </c>
      <c r="G23" t="n">
        <v>110.63</v>
      </c>
    </row>
    <row r="24">
      <c r="A24" t="inlineStr">
        <is>
          <t>2026-04-19</t>
        </is>
      </c>
      <c r="B24" t="inlineStr">
        <is>
          <t>П-24023</t>
        </is>
      </c>
      <c r="C24" t="inlineStr">
        <is>
          <t>ABC-KIT-051</t>
        </is>
      </c>
      <c r="D24" t="inlineStr">
        <is>
          <t>Чистящий крем кухня 750мл</t>
        </is>
      </c>
      <c r="E24" t="n">
        <v>2500</v>
      </c>
      <c r="F24" t="n">
        <v>280075</v>
      </c>
      <c r="G24" t="n">
        <v>112.03</v>
      </c>
    </row>
    <row r="25">
      <c r="A25" t="inlineStr">
        <is>
          <t>2026-03-28</t>
        </is>
      </c>
      <c r="B25" t="inlineStr">
        <is>
          <t>П-24024</t>
        </is>
      </c>
      <c r="C25" t="inlineStr">
        <is>
          <t>ABC-WND-009</t>
        </is>
      </c>
      <c r="D25" t="inlineStr">
        <is>
          <t>Очиститель стёкол 500мл</t>
        </is>
      </c>
      <c r="E25" t="n">
        <v>5500</v>
      </c>
      <c r="F25" t="n">
        <v>429550</v>
      </c>
      <c r="G25" t="n">
        <v>78.09999999999999</v>
      </c>
    </row>
    <row r="26">
      <c r="A26" t="inlineStr">
        <is>
          <t>2026-04-02</t>
        </is>
      </c>
      <c r="B26" t="inlineStr">
        <is>
          <t>П-24025</t>
        </is>
      </c>
      <c r="C26" t="inlineStr">
        <is>
          <t>ABC-WND-009</t>
        </is>
      </c>
      <c r="D26" t="inlineStr">
        <is>
          <t>Очиститель стёкол 500мл</t>
        </is>
      </c>
      <c r="E26" t="n">
        <v>4500</v>
      </c>
      <c r="F26" t="n">
        <v>339750</v>
      </c>
      <c r="G26" t="n">
        <v>75.5</v>
      </c>
    </row>
    <row r="27">
      <c r="A27" t="inlineStr">
        <is>
          <t>2026-04-04</t>
        </is>
      </c>
      <c r="B27" t="inlineStr">
        <is>
          <t>П-24026</t>
        </is>
      </c>
      <c r="C27" t="inlineStr">
        <is>
          <t>ABC-WND-009</t>
        </is>
      </c>
      <c r="D27" t="inlineStr">
        <is>
          <t>Очиститель стёкол 500мл</t>
        </is>
      </c>
      <c r="E27" t="n">
        <v>6100</v>
      </c>
      <c r="F27" t="n">
        <v>467443</v>
      </c>
      <c r="G27" t="n">
        <v>76.63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3" customWidth="1" min="3" max="3"/>
    <col width="23" customWidth="1" min="4" max="4"/>
    <col width="18" customWidth="1" min="5" max="5"/>
    <col width="16" customWidth="1" min="6" max="6"/>
  </cols>
  <sheetData>
    <row r="1">
      <c r="A1" s="1" t="inlineStr">
        <is>
          <t>Дата</t>
        </is>
      </c>
      <c r="B1" s="1" t="inlineStr">
        <is>
          <t>Накладная №</t>
        </is>
      </c>
      <c r="C1" s="1" t="inlineStr">
        <is>
          <t>Перевозчик</t>
        </is>
      </c>
      <c r="D1" s="1" t="inlineStr">
        <is>
          <t>Направление</t>
        </is>
      </c>
      <c r="E1" s="1" t="inlineStr">
        <is>
          <t>Сумма без НДС, ₽</t>
        </is>
      </c>
      <c r="F1" s="1" t="inlineStr">
        <is>
          <t>НДС, ₽</t>
        </is>
      </c>
    </row>
    <row r="2">
      <c r="A2" t="inlineStr">
        <is>
          <t>2026-04-01</t>
        </is>
      </c>
      <c r="B2" t="inlineStr">
        <is>
          <t>ТТН-14502</t>
        </is>
      </c>
      <c r="C2" t="inlineStr">
        <is>
          <t>ООО Логистик-Экспресс</t>
        </is>
      </c>
      <c r="D2" t="inlineStr">
        <is>
          <t>FBO Ozon Электросталь</t>
        </is>
      </c>
      <c r="E2" t="n">
        <v>30060</v>
      </c>
      <c r="F2" t="n">
        <v>6012</v>
      </c>
    </row>
    <row r="3">
      <c r="A3" t="inlineStr">
        <is>
          <t>2026-04-01</t>
        </is>
      </c>
      <c r="B3" t="inlineStr">
        <is>
          <t>ТТН-14520</t>
        </is>
      </c>
      <c r="C3" t="inlineStr">
        <is>
          <t>ТК ПЭК</t>
        </is>
      </c>
      <c r="D3" t="inlineStr">
        <is>
          <t>FBO Ozon Тверь</t>
        </is>
      </c>
      <c r="E3" t="n">
        <v>17029</v>
      </c>
      <c r="F3" t="n">
        <v>3406</v>
      </c>
    </row>
    <row r="4">
      <c r="A4" t="inlineStr">
        <is>
          <t>2026-04-02</t>
        </is>
      </c>
      <c r="B4" t="inlineStr">
        <is>
          <t>ТТН-14508</t>
        </is>
      </c>
      <c r="C4" t="inlineStr">
        <is>
          <t>ТК Деловые Линии</t>
        </is>
      </c>
      <c r="D4" t="inlineStr">
        <is>
          <t>FBO Ozon Тверь</t>
        </is>
      </c>
      <c r="E4" t="n">
        <v>18158</v>
      </c>
      <c r="F4" t="n">
        <v>3632</v>
      </c>
    </row>
    <row r="5">
      <c r="A5" t="inlineStr">
        <is>
          <t>2026-04-05</t>
        </is>
      </c>
      <c r="B5" t="inlineStr">
        <is>
          <t>ТТН-14505</t>
        </is>
      </c>
      <c r="C5" t="inlineStr">
        <is>
          <t>ООО Логистик-Экспресс</t>
        </is>
      </c>
      <c r="D5" t="inlineStr">
        <is>
          <t>FBO WB Подольск</t>
        </is>
      </c>
      <c r="E5" t="n">
        <v>23491</v>
      </c>
      <c r="F5" t="n">
        <v>4698</v>
      </c>
    </row>
    <row r="6">
      <c r="A6" t="inlineStr">
        <is>
          <t>2026-04-05</t>
        </is>
      </c>
      <c r="B6" t="inlineStr">
        <is>
          <t>ТТН-14512</t>
        </is>
      </c>
      <c r="C6" t="inlineStr">
        <is>
          <t>ООО Авто-Перевозки</t>
        </is>
      </c>
      <c r="D6" t="inlineStr">
        <is>
          <t>FBO Ozon Электросталь</t>
        </is>
      </c>
      <c r="E6" t="n">
        <v>17600</v>
      </c>
      <c r="F6" t="n">
        <v>3520</v>
      </c>
    </row>
    <row r="7">
      <c r="A7" t="inlineStr">
        <is>
          <t>2026-04-06</t>
        </is>
      </c>
      <c r="B7" t="inlineStr">
        <is>
          <t>ТТН-14504</t>
        </is>
      </c>
      <c r="C7" t="inlineStr">
        <is>
          <t>ТК ПЭК</t>
        </is>
      </c>
      <c r="D7" t="inlineStr">
        <is>
          <t>FBO WB Казань</t>
        </is>
      </c>
      <c r="E7" t="n">
        <v>24000</v>
      </c>
      <c r="F7" t="n">
        <v>4800</v>
      </c>
    </row>
    <row r="8">
      <c r="A8" t="inlineStr">
        <is>
          <t>2026-04-06</t>
        </is>
      </c>
      <c r="B8" t="inlineStr">
        <is>
          <t>ТТН-14507</t>
        </is>
      </c>
      <c r="C8" t="inlineStr">
        <is>
          <t>ТК Деловые Линии</t>
        </is>
      </c>
      <c r="D8" t="inlineStr">
        <is>
          <t>FBO Ozon Электросталь</t>
        </is>
      </c>
      <c r="E8" t="n">
        <v>29106</v>
      </c>
      <c r="F8" t="n">
        <v>5821</v>
      </c>
    </row>
    <row r="9">
      <c r="A9" t="inlineStr">
        <is>
          <t>2026-04-12</t>
        </is>
      </c>
      <c r="B9" t="inlineStr">
        <is>
          <t>ТТН-14501</t>
        </is>
      </c>
      <c r="C9" t="inlineStr">
        <is>
          <t>ООО Логистик-Экспресс</t>
        </is>
      </c>
      <c r="D9" t="inlineStr">
        <is>
          <t>FBO Ozon Тверь</t>
        </is>
      </c>
      <c r="E9" t="n">
        <v>25933</v>
      </c>
      <c r="F9" t="n">
        <v>5187</v>
      </c>
    </row>
    <row r="10">
      <c r="A10" t="inlineStr">
        <is>
          <t>2026-04-14</t>
        </is>
      </c>
      <c r="B10" t="inlineStr">
        <is>
          <t>ТТН-14516</t>
        </is>
      </c>
      <c r="C10" t="inlineStr">
        <is>
          <t>ООО Логистик-Экспресс</t>
        </is>
      </c>
      <c r="D10" t="inlineStr">
        <is>
          <t>FBO Ozon Электросталь</t>
        </is>
      </c>
      <c r="E10" t="n">
        <v>33052</v>
      </c>
      <c r="F10" t="n">
        <v>6610</v>
      </c>
    </row>
    <row r="11">
      <c r="A11" t="inlineStr">
        <is>
          <t>2026-04-19</t>
        </is>
      </c>
      <c r="B11" t="inlineStr">
        <is>
          <t>ТТН-14510</t>
        </is>
      </c>
      <c r="C11" t="inlineStr">
        <is>
          <t>ООО Логистик-Экспресс</t>
        </is>
      </c>
      <c r="D11" t="inlineStr">
        <is>
          <t>Прочее (склад)</t>
        </is>
      </c>
      <c r="E11" t="n">
        <v>35825</v>
      </c>
      <c r="F11" t="n">
        <v>7165</v>
      </c>
    </row>
    <row r="12">
      <c r="A12" t="inlineStr">
        <is>
          <t>2026-04-19</t>
        </is>
      </c>
      <c r="B12" t="inlineStr">
        <is>
          <t>ТТН-14513</t>
        </is>
      </c>
      <c r="C12" t="inlineStr">
        <is>
          <t>ООО Логистик-Экспресс</t>
        </is>
      </c>
      <c r="D12" t="inlineStr">
        <is>
          <t>FBO WB Подольск</t>
        </is>
      </c>
      <c r="E12" t="n">
        <v>37595</v>
      </c>
      <c r="F12" t="n">
        <v>7519</v>
      </c>
    </row>
    <row r="13">
      <c r="A13" t="inlineStr">
        <is>
          <t>2026-04-20</t>
        </is>
      </c>
      <c r="B13" t="inlineStr">
        <is>
          <t>ТТН-14509</t>
        </is>
      </c>
      <c r="C13" t="inlineStr">
        <is>
          <t>ИП Скоробогатов А.С.</t>
        </is>
      </c>
      <c r="D13" t="inlineStr">
        <is>
          <t>FBO Ozon Тверь</t>
        </is>
      </c>
      <c r="E13" t="n">
        <v>27616</v>
      </c>
      <c r="F13" t="n">
        <v>5523</v>
      </c>
    </row>
    <row r="14">
      <c r="A14" t="inlineStr">
        <is>
          <t>2026-04-20</t>
        </is>
      </c>
      <c r="B14" t="inlineStr">
        <is>
          <t>ТТН-14514</t>
        </is>
      </c>
      <c r="C14" t="inlineStr">
        <is>
          <t>ООО Авто-Перевозки</t>
        </is>
      </c>
      <c r="D14" t="inlineStr">
        <is>
          <t>FBO Ozon Тверь</t>
        </is>
      </c>
      <c r="E14" t="n">
        <v>31832</v>
      </c>
      <c r="F14" t="n">
        <v>6366</v>
      </c>
    </row>
    <row r="15">
      <c r="A15" t="inlineStr">
        <is>
          <t>2026-04-21</t>
        </is>
      </c>
      <c r="B15" t="inlineStr">
        <is>
          <t>ТТН-14511</t>
        </is>
      </c>
      <c r="C15" t="inlineStr">
        <is>
          <t>ООО Логистик-Экспресс</t>
        </is>
      </c>
      <c r="D15" t="inlineStr">
        <is>
          <t>FBO Ozon Электросталь</t>
        </is>
      </c>
      <c r="E15" t="n">
        <v>35072</v>
      </c>
      <c r="F15" t="n">
        <v>7014</v>
      </c>
    </row>
    <row r="16">
      <c r="A16" t="inlineStr">
        <is>
          <t>2026-04-22</t>
        </is>
      </c>
      <c r="B16" t="inlineStr">
        <is>
          <t>ТТН-14515</t>
        </is>
      </c>
      <c r="C16" t="inlineStr">
        <is>
          <t>ООО Логистик-Экспресс</t>
        </is>
      </c>
      <c r="D16" t="inlineStr">
        <is>
          <t>Прочее (склад)</t>
        </is>
      </c>
      <c r="E16" t="n">
        <v>28452</v>
      </c>
      <c r="F16" t="n">
        <v>5690</v>
      </c>
    </row>
    <row r="17">
      <c r="A17" t="inlineStr">
        <is>
          <t>2026-04-22</t>
        </is>
      </c>
      <c r="B17" t="inlineStr">
        <is>
          <t>ТТН-14518</t>
        </is>
      </c>
      <c r="C17" t="inlineStr">
        <is>
          <t>ООО Логистик-Экспресс</t>
        </is>
      </c>
      <c r="D17" t="inlineStr">
        <is>
          <t>FBO Ozon Тверь</t>
        </is>
      </c>
      <c r="E17" t="n">
        <v>37514</v>
      </c>
      <c r="F17" t="n">
        <v>7503</v>
      </c>
    </row>
    <row r="18">
      <c r="A18" t="inlineStr">
        <is>
          <t>2026-04-23</t>
        </is>
      </c>
      <c r="B18" t="inlineStr">
        <is>
          <t>ТТН-14519</t>
        </is>
      </c>
      <c r="C18" t="inlineStr">
        <is>
          <t>ИП Скоробогатов А.С.</t>
        </is>
      </c>
      <c r="D18" t="inlineStr">
        <is>
          <t>FBO Ozon Электросталь</t>
        </is>
      </c>
      <c r="E18" t="n">
        <v>15969</v>
      </c>
      <c r="F18" t="n">
        <v>3194</v>
      </c>
    </row>
    <row r="19">
      <c r="A19" t="inlineStr">
        <is>
          <t>2026-04-24</t>
        </is>
      </c>
      <c r="B19" t="inlineStr">
        <is>
          <t>ТТН-14521</t>
        </is>
      </c>
      <c r="C19" t="inlineStr">
        <is>
          <t>ООО Логистик-Экспресс</t>
        </is>
      </c>
      <c r="D19" t="inlineStr">
        <is>
          <t>FBO WB Подольск</t>
        </is>
      </c>
      <c r="E19" t="n">
        <v>16450</v>
      </c>
      <c r="F19" t="n">
        <v>3290</v>
      </c>
    </row>
    <row r="20">
      <c r="A20" t="inlineStr">
        <is>
          <t>2026-04-25</t>
        </is>
      </c>
      <c r="B20" t="inlineStr">
        <is>
          <t>ТТН-14506</t>
        </is>
      </c>
      <c r="C20" t="inlineStr">
        <is>
          <t>ООО Логистик-Экспресс</t>
        </is>
      </c>
      <c r="D20" t="inlineStr">
        <is>
          <t>FBO Ozon Электросталь</t>
        </is>
      </c>
      <c r="E20" t="n">
        <v>16526</v>
      </c>
      <c r="F20" t="n">
        <v>3305</v>
      </c>
    </row>
    <row r="21">
      <c r="A21" t="inlineStr">
        <is>
          <t>2026-04-25</t>
        </is>
      </c>
      <c r="B21" t="inlineStr">
        <is>
          <t>ТТН-14517</t>
        </is>
      </c>
      <c r="C21" t="inlineStr">
        <is>
          <t>ООО Логистик-Экспресс</t>
        </is>
      </c>
      <c r="D21" t="inlineStr">
        <is>
          <t>FBO Ozon Электросталь</t>
        </is>
      </c>
      <c r="E21" t="n">
        <v>29858</v>
      </c>
      <c r="F21" t="n">
        <v>5972</v>
      </c>
    </row>
    <row r="22">
      <c r="A22" t="inlineStr">
        <is>
          <t>2026-04-27</t>
        </is>
      </c>
      <c r="B22" t="inlineStr">
        <is>
          <t>ТТН-14522</t>
        </is>
      </c>
      <c r="C22" t="inlineStr">
        <is>
          <t>ООО Логистик-Экспресс</t>
        </is>
      </c>
      <c r="D22" t="inlineStr">
        <is>
          <t>Прочее (склад)</t>
        </is>
      </c>
      <c r="E22" t="n">
        <v>38368</v>
      </c>
      <c r="F22" t="n">
        <v>7674</v>
      </c>
    </row>
    <row r="23">
      <c r="A23" t="inlineStr">
        <is>
          <t>2026-04-28</t>
        </is>
      </c>
      <c r="B23" t="inlineStr">
        <is>
          <t>ТТН-14503</t>
        </is>
      </c>
      <c r="C23" t="inlineStr">
        <is>
          <t>ТК ПЭК</t>
        </is>
      </c>
      <c r="D23" t="inlineStr">
        <is>
          <t>FBO Ozon Электросталь</t>
        </is>
      </c>
      <c r="E23" t="n">
        <v>30497</v>
      </c>
      <c r="F23" t="n">
        <v>6099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6" customWidth="1" min="3" max="3"/>
    <col width="30" customWidth="1" min="4" max="4"/>
    <col width="16" customWidth="1" min="5" max="5"/>
  </cols>
  <sheetData>
    <row r="1">
      <c r="A1" s="1" t="inlineStr">
        <is>
          <t>Дата начала</t>
        </is>
      </c>
      <c r="B1" s="1" t="inlineStr">
        <is>
          <t>Дата конца</t>
        </is>
      </c>
      <c r="C1" s="1" t="inlineStr">
        <is>
          <t>SKU</t>
        </is>
      </c>
      <c r="D1" s="1" t="inlineStr">
        <is>
          <t>Наименование</t>
        </is>
      </c>
      <c r="E1" s="1" t="inlineStr">
        <is>
          <t>% баллов</t>
        </is>
      </c>
    </row>
    <row r="2">
      <c r="A2" s="2" t="n">
        <v>46113</v>
      </c>
      <c r="B2" s="2" t="n">
        <v>46126</v>
      </c>
      <c r="C2" t="inlineStr">
        <is>
          <t>ABC-CLN-042</t>
        </is>
      </c>
      <c r="D2" t="inlineStr">
        <is>
          <t>Средство для пола 1л</t>
        </is>
      </c>
      <c r="E2" t="n">
        <v>0.015</v>
      </c>
    </row>
    <row r="3">
      <c r="A3" s="2" t="n">
        <v>46127</v>
      </c>
      <c r="B3" s="2" t="n">
        <v>46142</v>
      </c>
      <c r="C3" t="inlineStr">
        <is>
          <t>ABC-CLN-042</t>
        </is>
      </c>
      <c r="D3" t="inlineStr">
        <is>
          <t>Средство для пола 1л</t>
        </is>
      </c>
      <c r="E3" t="n">
        <v>0.025</v>
      </c>
    </row>
    <row r="4">
      <c r="A4" s="2" t="n">
        <v>46113</v>
      </c>
      <c r="B4" s="2" t="n">
        <v>46127</v>
      </c>
      <c r="C4" t="inlineStr">
        <is>
          <t>ABC-LDR-034</t>
        </is>
      </c>
      <c r="D4" t="inlineStr">
        <is>
          <t>Детский гель для стирки 1.5л</t>
        </is>
      </c>
      <c r="E4" t="n">
        <v>0.005</v>
      </c>
    </row>
    <row r="5">
      <c r="A5" s="2" t="n">
        <v>46128</v>
      </c>
      <c r="B5" s="2" t="n">
        <v>46142</v>
      </c>
      <c r="C5" t="inlineStr">
        <is>
          <t>ABC-LDR-034</t>
        </is>
      </c>
      <c r="D5" t="inlineStr">
        <is>
          <t>Детский гель для стирки 1.5л</t>
        </is>
      </c>
      <c r="E5" t="n">
        <v>0.015</v>
      </c>
    </row>
    <row r="6">
      <c r="A6" s="2" t="n">
        <v>46113</v>
      </c>
      <c r="B6" s="2" t="n">
        <v>46122</v>
      </c>
      <c r="C6" t="inlineStr">
        <is>
          <t>ABC-LDR-027</t>
        </is>
      </c>
      <c r="D6" t="inlineStr">
        <is>
          <t>Кондиционер для белья 1л</t>
        </is>
      </c>
      <c r="E6" t="n">
        <v>0.01</v>
      </c>
    </row>
    <row r="7">
      <c r="A7" s="2" t="n">
        <v>46123</v>
      </c>
      <c r="B7" s="2" t="n">
        <v>46137</v>
      </c>
      <c r="C7" t="inlineStr">
        <is>
          <t>ABC-LDR-027</t>
        </is>
      </c>
      <c r="D7" t="inlineStr">
        <is>
          <t>Кондиционер для белья 1л</t>
        </is>
      </c>
      <c r="E7" t="n">
        <v>0.025</v>
      </c>
    </row>
    <row r="8">
      <c r="A8" s="2" t="n">
        <v>46138</v>
      </c>
      <c r="B8" s="2" t="n">
        <v>46142</v>
      </c>
      <c r="C8" t="inlineStr">
        <is>
          <t>ABC-LDR-027</t>
        </is>
      </c>
      <c r="D8" t="inlineStr">
        <is>
          <t>Кондиционер для белья 1л</t>
        </is>
      </c>
      <c r="E8" t="n">
        <v>0.015</v>
      </c>
    </row>
    <row r="9">
      <c r="A9" s="2" t="n">
        <v>46113</v>
      </c>
      <c r="B9" s="2" t="n">
        <v>46142</v>
      </c>
      <c r="C9" t="inlineStr">
        <is>
          <t>ABC-DSH-018</t>
        </is>
      </c>
      <c r="D9" t="inlineStr">
        <is>
          <t>Средство для посуды 500мл</t>
        </is>
      </c>
      <c r="E9" t="n">
        <v>0.01</v>
      </c>
    </row>
    <row r="10">
      <c r="A10" s="2" t="n">
        <v>46113</v>
      </c>
      <c r="B10" s="2" t="n">
        <v>46122</v>
      </c>
      <c r="C10" t="inlineStr">
        <is>
          <t>ABC-KIT-051</t>
        </is>
      </c>
      <c r="D10" t="inlineStr">
        <is>
          <t>Чистящий крем кухня 750мл</t>
        </is>
      </c>
      <c r="E10" t="n">
        <v>0.015</v>
      </c>
    </row>
    <row r="11">
      <c r="A11" s="2" t="n">
        <v>46123</v>
      </c>
      <c r="B11" s="2" t="n">
        <v>46142</v>
      </c>
      <c r="C11" t="inlineStr">
        <is>
          <t>ABC-KIT-051</t>
        </is>
      </c>
      <c r="D11" t="inlineStr">
        <is>
          <t>Чистящий крем кухня 750мл</t>
        </is>
      </c>
      <c r="E11" t="n">
        <v>0.025</v>
      </c>
    </row>
    <row r="12">
      <c r="A12" s="2" t="n">
        <v>46113</v>
      </c>
      <c r="B12" s="2" t="n">
        <v>46117</v>
      </c>
      <c r="C12" t="inlineStr">
        <is>
          <t>ABC-WND-009</t>
        </is>
      </c>
      <c r="D12" t="inlineStr">
        <is>
          <t>Очиститель стёкол 500мл</t>
        </is>
      </c>
      <c r="E12" t="n">
        <v>0.06</v>
      </c>
    </row>
    <row r="13">
      <c r="A13" s="2" t="n">
        <v>46118</v>
      </c>
      <c r="B13" s="2" t="n">
        <v>46137</v>
      </c>
      <c r="C13" t="inlineStr">
        <is>
          <t>ABC-WND-009</t>
        </is>
      </c>
      <c r="D13" t="inlineStr">
        <is>
          <t>Очиститель стёкол 500мл</t>
        </is>
      </c>
      <c r="E13" t="n">
        <v>0.09</v>
      </c>
    </row>
    <row r="14">
      <c r="A14" s="2" t="n">
        <v>46138</v>
      </c>
      <c r="B14" s="2" t="n">
        <v>46142</v>
      </c>
      <c r="C14" t="inlineStr">
        <is>
          <t>ABC-WND-009</t>
        </is>
      </c>
      <c r="D14" t="inlineStr">
        <is>
          <t>Очиститель стёкол 500мл</t>
        </is>
      </c>
      <c r="E14" t="n">
        <v>0.06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6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Дата</t>
        </is>
      </c>
      <c r="B1" s="1" t="inlineStr">
        <is>
          <t>Кампания</t>
        </is>
      </c>
      <c r="C1" s="1" t="inlineStr">
        <is>
          <t>SKU</t>
        </is>
      </c>
      <c r="D1" s="1" t="inlineStr">
        <is>
          <t>Расход, ₽</t>
        </is>
      </c>
      <c r="E1" s="1" t="inlineStr">
        <is>
          <t>Показы</t>
        </is>
      </c>
      <c r="F1" s="1" t="inlineStr">
        <is>
          <t>Клики</t>
        </is>
      </c>
      <c r="G1" s="1" t="inlineStr">
        <is>
          <t>Заказы</t>
        </is>
      </c>
    </row>
    <row r="2">
      <c r="A2" t="inlineStr">
        <is>
          <t>2026-04-01</t>
        </is>
      </c>
      <c r="B2" t="inlineStr">
        <is>
          <t>Кондиционер-Поиск</t>
        </is>
      </c>
      <c r="C2" t="inlineStr">
        <is>
          <t>ABC-LDR-027</t>
        </is>
      </c>
      <c r="D2" t="n">
        <v>8956</v>
      </c>
      <c r="E2" t="n">
        <v>153737</v>
      </c>
      <c r="F2" t="n">
        <v>5102</v>
      </c>
      <c r="G2" t="n">
        <v>393</v>
      </c>
    </row>
    <row r="3">
      <c r="A3" t="inlineStr">
        <is>
          <t>2026-04-01</t>
        </is>
      </c>
      <c r="B3" t="inlineStr">
        <is>
          <t>Пол-апрель-Карточка</t>
        </is>
      </c>
      <c r="C3" t="inlineStr">
        <is>
          <t>ABC-CLN-042</t>
        </is>
      </c>
      <c r="D3" t="n">
        <v>7226</v>
      </c>
      <c r="E3" t="n">
        <v>128216</v>
      </c>
      <c r="F3" t="n">
        <v>4072</v>
      </c>
      <c r="G3" t="n">
        <v>120</v>
      </c>
    </row>
    <row r="4">
      <c r="A4" t="inlineStr">
        <is>
          <t>2026-04-01</t>
        </is>
      </c>
      <c r="B4" t="inlineStr">
        <is>
          <t>Пол-апрель-Поиск</t>
        </is>
      </c>
      <c r="C4" t="inlineStr">
        <is>
          <t>ABC-CLN-042</t>
        </is>
      </c>
      <c r="D4" t="n">
        <v>14313</v>
      </c>
      <c r="E4" t="n">
        <v>190044</v>
      </c>
      <c r="F4" t="n">
        <v>9289</v>
      </c>
      <c r="G4" t="n">
        <v>707</v>
      </c>
    </row>
    <row r="5">
      <c r="A5" t="inlineStr">
        <is>
          <t>2026-04-02</t>
        </is>
      </c>
      <c r="B5" t="inlineStr">
        <is>
          <t>Кондиционер-Поиск</t>
        </is>
      </c>
      <c r="C5" t="inlineStr">
        <is>
          <t>ABC-LDR-027</t>
        </is>
      </c>
      <c r="D5" t="n">
        <v>9742</v>
      </c>
      <c r="E5" t="n">
        <v>163871</v>
      </c>
      <c r="F5" t="n">
        <v>4158</v>
      </c>
      <c r="G5" t="n">
        <v>302</v>
      </c>
    </row>
    <row r="6">
      <c r="A6" t="inlineStr">
        <is>
          <t>2026-04-02</t>
        </is>
      </c>
      <c r="B6" t="inlineStr">
        <is>
          <t>Кухня-крем-Поиск</t>
        </is>
      </c>
      <c r="C6" t="inlineStr">
        <is>
          <t>ABC-KIT-051</t>
        </is>
      </c>
      <c r="D6" t="n">
        <v>5041</v>
      </c>
      <c r="E6" t="n">
        <v>48594</v>
      </c>
      <c r="F6" t="n">
        <v>1349</v>
      </c>
      <c r="G6" t="n">
        <v>87</v>
      </c>
    </row>
    <row r="7">
      <c r="A7" t="inlineStr">
        <is>
          <t>2026-04-02</t>
        </is>
      </c>
      <c r="B7" t="inlineStr">
        <is>
          <t>Пол-апрель-Карточка</t>
        </is>
      </c>
      <c r="C7" t="inlineStr">
        <is>
          <t>ABC-CLN-042</t>
        </is>
      </c>
      <c r="D7" t="n">
        <v>7367</v>
      </c>
      <c r="E7" t="n">
        <v>75612</v>
      </c>
      <c r="F7" t="n">
        <v>2475</v>
      </c>
      <c r="G7" t="n">
        <v>165</v>
      </c>
    </row>
    <row r="8">
      <c r="A8" t="inlineStr">
        <is>
          <t>2026-04-02</t>
        </is>
      </c>
      <c r="B8" t="inlineStr">
        <is>
          <t>Пол-апрель-Поиск</t>
        </is>
      </c>
      <c r="C8" t="inlineStr">
        <is>
          <t>ABC-CLN-042</t>
        </is>
      </c>
      <c r="D8" t="n">
        <v>10421</v>
      </c>
      <c r="E8" t="n">
        <v>91113</v>
      </c>
      <c r="F8" t="n">
        <v>3755</v>
      </c>
      <c r="G8" t="n">
        <v>198</v>
      </c>
    </row>
    <row r="9">
      <c r="A9" t="inlineStr">
        <is>
          <t>2026-04-02</t>
        </is>
      </c>
      <c r="B9" t="inlineStr">
        <is>
          <t>Посуда-апрель-Карточка</t>
        </is>
      </c>
      <c r="C9" t="inlineStr">
        <is>
          <t>ABC-DSH-018</t>
        </is>
      </c>
      <c r="D9" t="n">
        <v>4736</v>
      </c>
      <c r="E9" t="n">
        <v>56764</v>
      </c>
      <c r="F9" t="n">
        <v>2165</v>
      </c>
      <c r="G9" t="n">
        <v>57</v>
      </c>
    </row>
    <row r="10">
      <c r="A10" t="inlineStr">
        <is>
          <t>2026-04-02</t>
        </is>
      </c>
      <c r="B10" t="inlineStr">
        <is>
          <t>Посуда-апрель-Поиск</t>
        </is>
      </c>
      <c r="C10" t="inlineStr">
        <is>
          <t>ABC-DSH-018</t>
        </is>
      </c>
      <c r="D10" t="n">
        <v>3045</v>
      </c>
      <c r="E10" t="n">
        <v>50129</v>
      </c>
      <c r="F10" t="n">
        <v>1892</v>
      </c>
      <c r="G10" t="n">
        <v>61</v>
      </c>
    </row>
    <row r="11">
      <c r="A11" t="inlineStr">
        <is>
          <t>2026-04-02</t>
        </is>
      </c>
      <c r="B11" t="inlineStr">
        <is>
          <t>Стирка-детский-Категория</t>
        </is>
      </c>
      <c r="C11" t="inlineStr">
        <is>
          <t>ABC-LDR-034</t>
        </is>
      </c>
      <c r="D11" t="n">
        <v>7543</v>
      </c>
      <c r="E11" t="n">
        <v>109380</v>
      </c>
      <c r="F11" t="n">
        <v>5262</v>
      </c>
      <c r="G11" t="n">
        <v>322</v>
      </c>
    </row>
    <row r="12">
      <c r="A12" t="inlineStr">
        <is>
          <t>2026-04-02</t>
        </is>
      </c>
      <c r="B12" t="inlineStr">
        <is>
          <t>Стирка-детский-Поиск</t>
        </is>
      </c>
      <c r="C12" t="inlineStr">
        <is>
          <t>ABC-LDR-034</t>
        </is>
      </c>
      <c r="D12" t="n">
        <v>4570</v>
      </c>
      <c r="E12" t="n">
        <v>50961</v>
      </c>
      <c r="F12" t="n">
        <v>1389</v>
      </c>
      <c r="G12" t="n">
        <v>42</v>
      </c>
    </row>
    <row r="13">
      <c r="A13" t="inlineStr">
        <is>
          <t>2026-04-02</t>
        </is>
      </c>
      <c r="B13" t="inlineStr">
        <is>
          <t>Стёкла-Карточка</t>
        </is>
      </c>
      <c r="C13" t="inlineStr">
        <is>
          <t>ABC-WND-009</t>
        </is>
      </c>
      <c r="D13" t="n">
        <v>1886</v>
      </c>
      <c r="E13" t="n">
        <v>28215</v>
      </c>
      <c r="F13" t="n">
        <v>722</v>
      </c>
      <c r="G13" t="n">
        <v>37</v>
      </c>
    </row>
    <row r="14">
      <c r="A14" t="inlineStr">
        <is>
          <t>2026-04-02</t>
        </is>
      </c>
      <c r="B14" t="inlineStr">
        <is>
          <t>Стёкла-Категория</t>
        </is>
      </c>
      <c r="C14" t="inlineStr">
        <is>
          <t>ABC-WND-009</t>
        </is>
      </c>
      <c r="D14" t="n">
        <v>1314</v>
      </c>
      <c r="E14" t="n">
        <v>13861</v>
      </c>
      <c r="F14" t="n">
        <v>537</v>
      </c>
      <c r="G14" t="n">
        <v>28</v>
      </c>
    </row>
    <row r="15">
      <c r="A15" t="inlineStr">
        <is>
          <t>2026-04-02</t>
        </is>
      </c>
      <c r="B15" t="inlineStr">
        <is>
          <t>Стёкла-Поиск</t>
        </is>
      </c>
      <c r="C15" t="inlineStr">
        <is>
          <t>ABC-WND-009</t>
        </is>
      </c>
      <c r="D15" t="n">
        <v>1497</v>
      </c>
      <c r="E15" t="n">
        <v>13173</v>
      </c>
      <c r="F15" t="n">
        <v>292</v>
      </c>
      <c r="G15" t="n">
        <v>12</v>
      </c>
    </row>
    <row r="16">
      <c r="A16" t="inlineStr">
        <is>
          <t>2026-04-03</t>
        </is>
      </c>
      <c r="B16" t="inlineStr">
        <is>
          <t>Кондиционер-Поиск</t>
        </is>
      </c>
      <c r="C16" t="inlineStr">
        <is>
          <t>ABC-LDR-027</t>
        </is>
      </c>
      <c r="D16" t="n">
        <v>7346</v>
      </c>
      <c r="E16" t="n">
        <v>88971</v>
      </c>
      <c r="F16" t="n">
        <v>4114</v>
      </c>
      <c r="G16" t="n">
        <v>115</v>
      </c>
    </row>
    <row r="17">
      <c r="A17" t="inlineStr">
        <is>
          <t>2026-04-03</t>
        </is>
      </c>
      <c r="B17" t="inlineStr">
        <is>
          <t>Кухня-крем-Поиск</t>
        </is>
      </c>
      <c r="C17" t="inlineStr">
        <is>
          <t>ABC-KIT-051</t>
        </is>
      </c>
      <c r="D17" t="n">
        <v>4086</v>
      </c>
      <c r="E17" t="n">
        <v>37024</v>
      </c>
      <c r="F17" t="n">
        <v>1085</v>
      </c>
      <c r="G17" t="n">
        <v>44</v>
      </c>
    </row>
    <row r="18">
      <c r="A18" t="inlineStr">
        <is>
          <t>2026-04-03</t>
        </is>
      </c>
      <c r="B18" t="inlineStr">
        <is>
          <t>Пол-апрель-Карточка</t>
        </is>
      </c>
      <c r="C18" t="inlineStr">
        <is>
          <t>ABC-CLN-042</t>
        </is>
      </c>
      <c r="D18" t="n">
        <v>9306</v>
      </c>
      <c r="E18" t="n">
        <v>155582</v>
      </c>
      <c r="F18" t="n">
        <v>3334</v>
      </c>
      <c r="G18" t="n">
        <v>127</v>
      </c>
    </row>
    <row r="19">
      <c r="A19" t="inlineStr">
        <is>
          <t>2026-04-03</t>
        </is>
      </c>
      <c r="B19" t="inlineStr">
        <is>
          <t>Пол-апрель-Поиск</t>
        </is>
      </c>
      <c r="C19" t="inlineStr">
        <is>
          <t>ABC-CLN-042</t>
        </is>
      </c>
      <c r="D19" t="n">
        <v>8788</v>
      </c>
      <c r="E19" t="n">
        <v>79678</v>
      </c>
      <c r="F19" t="n">
        <v>2184</v>
      </c>
      <c r="G19" t="n">
        <v>53</v>
      </c>
    </row>
    <row r="20">
      <c r="A20" t="inlineStr">
        <is>
          <t>2026-04-03</t>
        </is>
      </c>
      <c r="B20" t="inlineStr">
        <is>
          <t>Посуда-апрель-Карточка</t>
        </is>
      </c>
      <c r="C20" t="inlineStr">
        <is>
          <t>ABC-DSH-018</t>
        </is>
      </c>
      <c r="D20" t="n">
        <v>3752</v>
      </c>
      <c r="E20" t="n">
        <v>31470</v>
      </c>
      <c r="F20" t="n">
        <v>1296</v>
      </c>
      <c r="G20" t="n">
        <v>50</v>
      </c>
    </row>
    <row r="21">
      <c r="A21" t="inlineStr">
        <is>
          <t>2026-04-03</t>
        </is>
      </c>
      <c r="B21" t="inlineStr">
        <is>
          <t>Посуда-апрель-Поиск</t>
        </is>
      </c>
      <c r="C21" t="inlineStr">
        <is>
          <t>ABC-DSH-018</t>
        </is>
      </c>
      <c r="D21" t="n">
        <v>5675</v>
      </c>
      <c r="E21" t="n">
        <v>56207</v>
      </c>
      <c r="F21" t="n">
        <v>1372</v>
      </c>
      <c r="G21" t="n">
        <v>64</v>
      </c>
    </row>
    <row r="22">
      <c r="A22" t="inlineStr">
        <is>
          <t>2026-04-03</t>
        </is>
      </c>
      <c r="B22" t="inlineStr">
        <is>
          <t>Стирка-детский-Категория</t>
        </is>
      </c>
      <c r="C22" t="inlineStr">
        <is>
          <t>ABC-LDR-034</t>
        </is>
      </c>
      <c r="D22" t="n">
        <v>7435</v>
      </c>
      <c r="E22" t="n">
        <v>65989</v>
      </c>
      <c r="F22" t="n">
        <v>1642</v>
      </c>
      <c r="G22" t="n">
        <v>88</v>
      </c>
    </row>
    <row r="23">
      <c r="A23" t="inlineStr">
        <is>
          <t>2026-04-03</t>
        </is>
      </c>
      <c r="B23" t="inlineStr">
        <is>
          <t>Стирка-детский-Поиск</t>
        </is>
      </c>
      <c r="C23" t="inlineStr">
        <is>
          <t>ABC-LDR-034</t>
        </is>
      </c>
      <c r="D23" t="n">
        <v>7585</v>
      </c>
      <c r="E23" t="n">
        <v>122359</v>
      </c>
      <c r="F23" t="n">
        <v>4541</v>
      </c>
      <c r="G23" t="n">
        <v>133</v>
      </c>
    </row>
    <row r="24">
      <c r="A24" t="inlineStr">
        <is>
          <t>2026-04-03</t>
        </is>
      </c>
      <c r="B24" t="inlineStr">
        <is>
          <t>Стёкла-Карточка</t>
        </is>
      </c>
      <c r="C24" t="inlineStr">
        <is>
          <t>ABC-WND-009</t>
        </is>
      </c>
      <c r="D24" t="n">
        <v>1044</v>
      </c>
      <c r="E24" t="n">
        <v>11668</v>
      </c>
      <c r="F24" t="n">
        <v>296</v>
      </c>
      <c r="G24" t="n">
        <v>21</v>
      </c>
    </row>
    <row r="25">
      <c r="A25" t="inlineStr">
        <is>
          <t>2026-04-03</t>
        </is>
      </c>
      <c r="B25" t="inlineStr">
        <is>
          <t>Стёкла-Категория</t>
        </is>
      </c>
      <c r="C25" t="inlineStr">
        <is>
          <t>ABC-WND-009</t>
        </is>
      </c>
      <c r="D25" t="n">
        <v>1419</v>
      </c>
      <c r="E25" t="n">
        <v>20414</v>
      </c>
      <c r="F25" t="n">
        <v>649</v>
      </c>
      <c r="G25" t="n">
        <v>18</v>
      </c>
    </row>
    <row r="26">
      <c r="A26" t="inlineStr">
        <is>
          <t>2026-04-03</t>
        </is>
      </c>
      <c r="B26" t="inlineStr">
        <is>
          <t>Стёкла-Поиск</t>
        </is>
      </c>
      <c r="C26" t="inlineStr">
        <is>
          <t>ABC-WND-009</t>
        </is>
      </c>
      <c r="D26" t="n">
        <v>1704</v>
      </c>
      <c r="E26" t="n">
        <v>25084</v>
      </c>
      <c r="F26" t="n">
        <v>713</v>
      </c>
      <c r="G26" t="n">
        <v>44</v>
      </c>
    </row>
    <row r="27">
      <c r="A27" t="inlineStr">
        <is>
          <t>2026-04-04</t>
        </is>
      </c>
      <c r="B27" t="inlineStr">
        <is>
          <t>Кондиционер-Поиск</t>
        </is>
      </c>
      <c r="C27" t="inlineStr">
        <is>
          <t>ABC-LDR-027</t>
        </is>
      </c>
      <c r="D27" t="n">
        <v>6906</v>
      </c>
      <c r="E27" t="n">
        <v>70839</v>
      </c>
      <c r="F27" t="n">
        <v>3242</v>
      </c>
      <c r="G27" t="n">
        <v>257</v>
      </c>
    </row>
    <row r="28">
      <c r="A28" t="inlineStr">
        <is>
          <t>2026-04-04</t>
        </is>
      </c>
      <c r="B28" t="inlineStr">
        <is>
          <t>Кухня-крем-Поиск</t>
        </is>
      </c>
      <c r="C28" t="inlineStr">
        <is>
          <t>ABC-KIT-051</t>
        </is>
      </c>
      <c r="D28" t="n">
        <v>4466</v>
      </c>
      <c r="E28" t="n">
        <v>76264</v>
      </c>
      <c r="F28" t="n">
        <v>2370</v>
      </c>
      <c r="G28" t="n">
        <v>94</v>
      </c>
    </row>
    <row r="29">
      <c r="A29" t="inlineStr">
        <is>
          <t>2026-04-04</t>
        </is>
      </c>
      <c r="B29" t="inlineStr">
        <is>
          <t>Посуда-апрель-Карточка</t>
        </is>
      </c>
      <c r="C29" t="inlineStr">
        <is>
          <t>ABC-DSH-018</t>
        </is>
      </c>
      <c r="D29" t="n">
        <v>3294</v>
      </c>
      <c r="E29" t="n">
        <v>31191</v>
      </c>
      <c r="F29" t="n">
        <v>819</v>
      </c>
      <c r="G29" t="n">
        <v>50</v>
      </c>
    </row>
    <row r="30">
      <c r="A30" t="inlineStr">
        <is>
          <t>2026-04-04</t>
        </is>
      </c>
      <c r="B30" t="inlineStr">
        <is>
          <t>Посуда-апрель-Поиск</t>
        </is>
      </c>
      <c r="C30" t="inlineStr">
        <is>
          <t>ABC-DSH-018</t>
        </is>
      </c>
      <c r="D30" t="n">
        <v>4816</v>
      </c>
      <c r="E30" t="n">
        <v>84037</v>
      </c>
      <c r="F30" t="n">
        <v>2026</v>
      </c>
      <c r="G30" t="n">
        <v>128</v>
      </c>
    </row>
    <row r="31">
      <c r="A31" t="inlineStr">
        <is>
          <t>2026-04-04</t>
        </is>
      </c>
      <c r="B31" t="inlineStr">
        <is>
          <t>Стирка-детский-Категория</t>
        </is>
      </c>
      <c r="C31" t="inlineStr">
        <is>
          <t>ABC-LDR-034</t>
        </is>
      </c>
      <c r="D31" t="n">
        <v>4033</v>
      </c>
      <c r="E31" t="n">
        <v>40614</v>
      </c>
      <c r="F31" t="n">
        <v>1849</v>
      </c>
      <c r="G31" t="n">
        <v>143</v>
      </c>
    </row>
    <row r="32">
      <c r="A32" t="inlineStr">
        <is>
          <t>2026-04-04</t>
        </is>
      </c>
      <c r="B32" t="inlineStr">
        <is>
          <t>Стирка-детский-Поиск</t>
        </is>
      </c>
      <c r="C32" t="inlineStr">
        <is>
          <t>ABC-LDR-034</t>
        </is>
      </c>
      <c r="D32" t="n">
        <v>4291</v>
      </c>
      <c r="E32" t="n">
        <v>40995</v>
      </c>
      <c r="F32" t="n">
        <v>1708</v>
      </c>
      <c r="G32" t="n">
        <v>57</v>
      </c>
    </row>
    <row r="33">
      <c r="A33" t="inlineStr">
        <is>
          <t>2026-04-04</t>
        </is>
      </c>
      <c r="B33" t="inlineStr">
        <is>
          <t>Стёкла-Карточка</t>
        </is>
      </c>
      <c r="C33" t="inlineStr">
        <is>
          <t>ABC-WND-009</t>
        </is>
      </c>
      <c r="D33" t="n">
        <v>1943</v>
      </c>
      <c r="E33" t="n">
        <v>18104</v>
      </c>
      <c r="F33" t="n">
        <v>841</v>
      </c>
      <c r="G33" t="n">
        <v>36</v>
      </c>
    </row>
    <row r="34">
      <c r="A34" t="inlineStr">
        <is>
          <t>2026-04-04</t>
        </is>
      </c>
      <c r="B34" t="inlineStr">
        <is>
          <t>Стёкла-Категория</t>
        </is>
      </c>
      <c r="C34" t="inlineStr">
        <is>
          <t>ABC-WND-009</t>
        </is>
      </c>
      <c r="D34" t="n">
        <v>1985</v>
      </c>
      <c r="E34" t="n">
        <v>31431</v>
      </c>
      <c r="F34" t="n">
        <v>1552</v>
      </c>
      <c r="G34" t="n">
        <v>52</v>
      </c>
    </row>
    <row r="35">
      <c r="A35" t="inlineStr">
        <is>
          <t>2026-04-04</t>
        </is>
      </c>
      <c r="B35" t="inlineStr">
        <is>
          <t>Стёкла-Поиск</t>
        </is>
      </c>
      <c r="C35" t="inlineStr">
        <is>
          <t>ABC-WND-009</t>
        </is>
      </c>
      <c r="D35" t="n">
        <v>1395</v>
      </c>
      <c r="E35" t="n">
        <v>24791</v>
      </c>
      <c r="F35" t="n">
        <v>1177</v>
      </c>
      <c r="G35" t="n">
        <v>56</v>
      </c>
    </row>
    <row r="36">
      <c r="A36" t="inlineStr">
        <is>
          <t>2026-04-05</t>
        </is>
      </c>
      <c r="B36" t="inlineStr">
        <is>
          <t>Кондиционер-Поиск</t>
        </is>
      </c>
      <c r="C36" t="inlineStr">
        <is>
          <t>ABC-LDR-027</t>
        </is>
      </c>
      <c r="D36" t="n">
        <v>8483</v>
      </c>
      <c r="E36" t="n">
        <v>127608</v>
      </c>
      <c r="F36" t="n">
        <v>4658</v>
      </c>
      <c r="G36" t="n">
        <v>208</v>
      </c>
    </row>
    <row r="37">
      <c r="A37" t="inlineStr">
        <is>
          <t>2026-04-05</t>
        </is>
      </c>
      <c r="B37" t="inlineStr">
        <is>
          <t>Пол-апрель-Карточка</t>
        </is>
      </c>
      <c r="C37" t="inlineStr">
        <is>
          <t>ABC-CLN-042</t>
        </is>
      </c>
      <c r="D37" t="n">
        <v>11661</v>
      </c>
      <c r="E37" t="n">
        <v>176283</v>
      </c>
      <c r="F37" t="n">
        <v>6820</v>
      </c>
      <c r="G37" t="n">
        <v>163</v>
      </c>
    </row>
    <row r="38">
      <c r="A38" t="inlineStr">
        <is>
          <t>2026-04-05</t>
        </is>
      </c>
      <c r="B38" t="inlineStr">
        <is>
          <t>Пол-апрель-Поиск</t>
        </is>
      </c>
      <c r="C38" t="inlineStr">
        <is>
          <t>ABC-CLN-042</t>
        </is>
      </c>
      <c r="D38" t="n">
        <v>13058</v>
      </c>
      <c r="E38" t="n">
        <v>131057</v>
      </c>
      <c r="F38" t="n">
        <v>2493</v>
      </c>
      <c r="G38" t="n">
        <v>87</v>
      </c>
    </row>
    <row r="39">
      <c r="A39" t="inlineStr">
        <is>
          <t>2026-04-05</t>
        </is>
      </c>
      <c r="B39" t="inlineStr">
        <is>
          <t>Посуда-апрель-Карточка</t>
        </is>
      </c>
      <c r="C39" t="inlineStr">
        <is>
          <t>ABC-DSH-018</t>
        </is>
      </c>
      <c r="D39" t="n">
        <v>5582</v>
      </c>
      <c r="E39" t="n">
        <v>83766</v>
      </c>
      <c r="F39" t="n">
        <v>2722</v>
      </c>
      <c r="G39" t="n">
        <v>82</v>
      </c>
    </row>
    <row r="40">
      <c r="A40" t="inlineStr">
        <is>
          <t>2026-04-05</t>
        </is>
      </c>
      <c r="B40" t="inlineStr">
        <is>
          <t>Посуда-апрель-Поиск</t>
        </is>
      </c>
      <c r="C40" t="inlineStr">
        <is>
          <t>ABC-DSH-018</t>
        </is>
      </c>
      <c r="D40" t="n">
        <v>4074</v>
      </c>
      <c r="E40" t="n">
        <v>45692</v>
      </c>
      <c r="F40" t="n">
        <v>1610</v>
      </c>
      <c r="G40" t="n">
        <v>111</v>
      </c>
    </row>
    <row r="41">
      <c r="A41" t="inlineStr">
        <is>
          <t>2026-04-05</t>
        </is>
      </c>
      <c r="B41" t="inlineStr">
        <is>
          <t>Стирка-детский-Категория</t>
        </is>
      </c>
      <c r="C41" t="inlineStr">
        <is>
          <t>ABC-LDR-034</t>
        </is>
      </c>
      <c r="D41" t="n">
        <v>6471</v>
      </c>
      <c r="E41" t="n">
        <v>89430</v>
      </c>
      <c r="F41" t="n">
        <v>2921</v>
      </c>
      <c r="G41" t="n">
        <v>109</v>
      </c>
    </row>
    <row r="42">
      <c r="A42" t="inlineStr">
        <is>
          <t>2026-04-05</t>
        </is>
      </c>
      <c r="B42" t="inlineStr">
        <is>
          <t>Стирка-детский-Поиск</t>
        </is>
      </c>
      <c r="C42" t="inlineStr">
        <is>
          <t>ABC-LDR-034</t>
        </is>
      </c>
      <c r="D42" t="n">
        <v>4845</v>
      </c>
      <c r="E42" t="n">
        <v>38875</v>
      </c>
      <c r="F42" t="n">
        <v>1031</v>
      </c>
      <c r="G42" t="n">
        <v>36</v>
      </c>
    </row>
    <row r="43">
      <c r="A43" t="inlineStr">
        <is>
          <t>2026-04-05</t>
        </is>
      </c>
      <c r="B43" t="inlineStr">
        <is>
          <t>Стёкла-Карточка</t>
        </is>
      </c>
      <c r="C43" t="inlineStr">
        <is>
          <t>ABC-WND-009</t>
        </is>
      </c>
      <c r="D43" t="n">
        <v>2343</v>
      </c>
      <c r="E43" t="n">
        <v>40549</v>
      </c>
      <c r="F43" t="n">
        <v>1936</v>
      </c>
      <c r="G43" t="n">
        <v>105</v>
      </c>
    </row>
    <row r="44">
      <c r="A44" t="inlineStr">
        <is>
          <t>2026-04-05</t>
        </is>
      </c>
      <c r="B44" t="inlineStr">
        <is>
          <t>Стёкла-Категория</t>
        </is>
      </c>
      <c r="C44" t="inlineStr">
        <is>
          <t>ABC-WND-009</t>
        </is>
      </c>
      <c r="D44" t="n">
        <v>2158</v>
      </c>
      <c r="E44" t="n">
        <v>23718</v>
      </c>
      <c r="F44" t="n">
        <v>715</v>
      </c>
      <c r="G44" t="n">
        <v>34</v>
      </c>
    </row>
    <row r="45">
      <c r="A45" t="inlineStr">
        <is>
          <t>2026-04-05</t>
        </is>
      </c>
      <c r="B45" t="inlineStr">
        <is>
          <t>Стёкла-Поиск</t>
        </is>
      </c>
      <c r="C45" t="inlineStr">
        <is>
          <t>ABC-WND-009</t>
        </is>
      </c>
      <c r="D45" t="n">
        <v>1047</v>
      </c>
      <c r="E45" t="n">
        <v>12684</v>
      </c>
      <c r="F45" t="n">
        <v>475</v>
      </c>
      <c r="G45" t="n">
        <v>35</v>
      </c>
    </row>
    <row r="46">
      <c r="A46" t="inlineStr">
        <is>
          <t>2026-04-06</t>
        </is>
      </c>
      <c r="B46" t="inlineStr">
        <is>
          <t>Кондиционер-Поиск</t>
        </is>
      </c>
      <c r="C46" t="inlineStr">
        <is>
          <t>ABC-LDR-027</t>
        </is>
      </c>
      <c r="D46" t="n">
        <v>7179</v>
      </c>
      <c r="E46" t="n">
        <v>105116</v>
      </c>
      <c r="F46" t="n">
        <v>4923</v>
      </c>
      <c r="G46" t="n">
        <v>132</v>
      </c>
    </row>
    <row r="47">
      <c r="A47" t="inlineStr">
        <is>
          <t>2026-04-06</t>
        </is>
      </c>
      <c r="B47" t="inlineStr">
        <is>
          <t>Посуда-апрель-Карточка</t>
        </is>
      </c>
      <c r="C47" t="inlineStr">
        <is>
          <t>ABC-DSH-018</t>
        </is>
      </c>
      <c r="D47" t="n">
        <v>5192</v>
      </c>
      <c r="E47" t="n">
        <v>91220</v>
      </c>
      <c r="F47" t="n">
        <v>3283</v>
      </c>
      <c r="G47" t="n">
        <v>105</v>
      </c>
    </row>
    <row r="48">
      <c r="A48" t="inlineStr">
        <is>
          <t>2026-04-06</t>
        </is>
      </c>
      <c r="B48" t="inlineStr">
        <is>
          <t>Посуда-апрель-Поиск</t>
        </is>
      </c>
      <c r="C48" t="inlineStr">
        <is>
          <t>ABC-DSH-018</t>
        </is>
      </c>
      <c r="D48" t="n">
        <v>4152</v>
      </c>
      <c r="E48" t="n">
        <v>52193</v>
      </c>
      <c r="F48" t="n">
        <v>1253</v>
      </c>
      <c r="G48" t="n">
        <v>73</v>
      </c>
    </row>
    <row r="49">
      <c r="A49" t="inlineStr">
        <is>
          <t>2026-04-06</t>
        </is>
      </c>
      <c r="B49" t="inlineStr">
        <is>
          <t>Стирка-детский-Категория</t>
        </is>
      </c>
      <c r="C49" t="inlineStr">
        <is>
          <t>ABC-LDR-034</t>
        </is>
      </c>
      <c r="D49" t="n">
        <v>4689</v>
      </c>
      <c r="E49" t="n">
        <v>54696</v>
      </c>
      <c r="F49" t="n">
        <v>1282</v>
      </c>
      <c r="G49" t="n">
        <v>58</v>
      </c>
    </row>
    <row r="50">
      <c r="A50" t="inlineStr">
        <is>
          <t>2026-04-06</t>
        </is>
      </c>
      <c r="B50" t="inlineStr">
        <is>
          <t>Стирка-детский-Поиск</t>
        </is>
      </c>
      <c r="C50" t="inlineStr">
        <is>
          <t>ABC-LDR-034</t>
        </is>
      </c>
      <c r="D50" t="n">
        <v>5816</v>
      </c>
      <c r="E50" t="n">
        <v>67908</v>
      </c>
      <c r="F50" t="n">
        <v>3062</v>
      </c>
      <c r="G50" t="n">
        <v>81</v>
      </c>
    </row>
    <row r="51">
      <c r="A51" t="inlineStr">
        <is>
          <t>2026-04-07</t>
        </is>
      </c>
      <c r="B51" t="inlineStr">
        <is>
          <t>Кондиционер-Поиск</t>
        </is>
      </c>
      <c r="C51" t="inlineStr">
        <is>
          <t>ABC-LDR-027</t>
        </is>
      </c>
      <c r="D51" t="n">
        <v>7146</v>
      </c>
      <c r="E51" t="n">
        <v>66185</v>
      </c>
      <c r="F51" t="n">
        <v>1538</v>
      </c>
      <c r="G51" t="n">
        <v>108</v>
      </c>
    </row>
    <row r="52">
      <c r="A52" t="inlineStr">
        <is>
          <t>2026-04-07</t>
        </is>
      </c>
      <c r="B52" t="inlineStr">
        <is>
          <t>Кухня-крем-Поиск</t>
        </is>
      </c>
      <c r="C52" t="inlineStr">
        <is>
          <t>ABC-KIT-051</t>
        </is>
      </c>
      <c r="D52" t="n">
        <v>8563</v>
      </c>
      <c r="E52" t="n">
        <v>146185</v>
      </c>
      <c r="F52" t="n">
        <v>3660</v>
      </c>
      <c r="G52" t="n">
        <v>215</v>
      </c>
    </row>
    <row r="53">
      <c r="A53" t="inlineStr">
        <is>
          <t>2026-04-07</t>
        </is>
      </c>
      <c r="B53" t="inlineStr">
        <is>
          <t>Посуда-апрель-Карточка</t>
        </is>
      </c>
      <c r="C53" t="inlineStr">
        <is>
          <t>ABC-DSH-018</t>
        </is>
      </c>
      <c r="D53" t="n">
        <v>5942</v>
      </c>
      <c r="E53" t="n">
        <v>82950</v>
      </c>
      <c r="F53" t="n">
        <v>2355</v>
      </c>
      <c r="G53" t="n">
        <v>59</v>
      </c>
    </row>
    <row r="54">
      <c r="A54" t="inlineStr">
        <is>
          <t>2026-04-07</t>
        </is>
      </c>
      <c r="B54" t="inlineStr">
        <is>
          <t>Посуда-апрель-Поиск</t>
        </is>
      </c>
      <c r="C54" t="inlineStr">
        <is>
          <t>ABC-DSH-018</t>
        </is>
      </c>
      <c r="D54" t="n">
        <v>4199</v>
      </c>
      <c r="E54" t="n">
        <v>72505</v>
      </c>
      <c r="F54" t="n">
        <v>2360</v>
      </c>
      <c r="G54" t="n">
        <v>152</v>
      </c>
    </row>
    <row r="55">
      <c r="A55" t="inlineStr">
        <is>
          <t>2026-04-07</t>
        </is>
      </c>
      <c r="B55" t="inlineStr">
        <is>
          <t>Стирка-детский-Категория</t>
        </is>
      </c>
      <c r="C55" t="inlineStr">
        <is>
          <t>ABC-LDR-034</t>
        </is>
      </c>
      <c r="D55" t="n">
        <v>6550</v>
      </c>
      <c r="E55" t="n">
        <v>96165</v>
      </c>
      <c r="F55" t="n">
        <v>2436</v>
      </c>
      <c r="G55" t="n">
        <v>106</v>
      </c>
    </row>
    <row r="56">
      <c r="A56" t="inlineStr">
        <is>
          <t>2026-04-07</t>
        </is>
      </c>
      <c r="B56" t="inlineStr">
        <is>
          <t>Стирка-детский-Поиск</t>
        </is>
      </c>
      <c r="C56" t="inlineStr">
        <is>
          <t>ABC-LDR-034</t>
        </is>
      </c>
      <c r="D56" t="n">
        <v>3736</v>
      </c>
      <c r="E56" t="n">
        <v>65174</v>
      </c>
      <c r="F56" t="n">
        <v>2544</v>
      </c>
      <c r="G56" t="n">
        <v>84</v>
      </c>
    </row>
    <row r="57">
      <c r="A57" t="inlineStr">
        <is>
          <t>2026-04-07</t>
        </is>
      </c>
      <c r="B57" t="inlineStr">
        <is>
          <t>Стёкла-Карточка</t>
        </is>
      </c>
      <c r="C57" t="inlineStr">
        <is>
          <t>ABC-WND-009</t>
        </is>
      </c>
      <c r="D57" t="n">
        <v>1720</v>
      </c>
      <c r="E57" t="n">
        <v>17656</v>
      </c>
      <c r="F57" t="n">
        <v>699</v>
      </c>
      <c r="G57" t="n">
        <v>27</v>
      </c>
    </row>
    <row r="58">
      <c r="A58" t="inlineStr">
        <is>
          <t>2026-04-07</t>
        </is>
      </c>
      <c r="B58" t="inlineStr">
        <is>
          <t>Стёкла-Категория</t>
        </is>
      </c>
      <c r="C58" t="inlineStr">
        <is>
          <t>ABC-WND-009</t>
        </is>
      </c>
      <c r="D58" t="n">
        <v>2378</v>
      </c>
      <c r="E58" t="n">
        <v>20741</v>
      </c>
      <c r="F58" t="n">
        <v>1021</v>
      </c>
      <c r="G58" t="n">
        <v>63</v>
      </c>
    </row>
    <row r="59">
      <c r="A59" t="inlineStr">
        <is>
          <t>2026-04-07</t>
        </is>
      </c>
      <c r="B59" t="inlineStr">
        <is>
          <t>Стёкла-Поиск</t>
        </is>
      </c>
      <c r="C59" t="inlineStr">
        <is>
          <t>ABC-WND-009</t>
        </is>
      </c>
      <c r="D59" t="n">
        <v>2372</v>
      </c>
      <c r="E59" t="n">
        <v>19202</v>
      </c>
      <c r="F59" t="n">
        <v>509</v>
      </c>
      <c r="G59" t="n">
        <v>29</v>
      </c>
    </row>
    <row r="60">
      <c r="A60" t="inlineStr">
        <is>
          <t>2026-04-08</t>
        </is>
      </c>
      <c r="B60" t="inlineStr">
        <is>
          <t>Кухня-крем-Поиск</t>
        </is>
      </c>
      <c r="C60" t="inlineStr">
        <is>
          <t>ABC-KIT-051</t>
        </is>
      </c>
      <c r="D60" t="n">
        <v>6219</v>
      </c>
      <c r="E60" t="n">
        <v>102339</v>
      </c>
      <c r="F60" t="n">
        <v>4716</v>
      </c>
      <c r="G60" t="n">
        <v>341</v>
      </c>
    </row>
    <row r="61">
      <c r="A61" t="inlineStr">
        <is>
          <t>2026-04-08</t>
        </is>
      </c>
      <c r="B61" t="inlineStr">
        <is>
          <t>Пол-апрель-Карточка</t>
        </is>
      </c>
      <c r="C61" t="inlineStr">
        <is>
          <t>ABC-CLN-042</t>
        </is>
      </c>
      <c r="D61" t="n">
        <v>12870</v>
      </c>
      <c r="E61" t="n">
        <v>176140</v>
      </c>
      <c r="F61" t="n">
        <v>6232</v>
      </c>
      <c r="G61" t="n">
        <v>189</v>
      </c>
    </row>
    <row r="62">
      <c r="A62" t="inlineStr">
        <is>
          <t>2026-04-08</t>
        </is>
      </c>
      <c r="B62" t="inlineStr">
        <is>
          <t>Пол-апрель-Поиск</t>
        </is>
      </c>
      <c r="C62" t="inlineStr">
        <is>
          <t>ABC-CLN-042</t>
        </is>
      </c>
      <c r="D62" t="n">
        <v>8864</v>
      </c>
      <c r="E62" t="n">
        <v>81176</v>
      </c>
      <c r="F62" t="n">
        <v>2809</v>
      </c>
      <c r="G62" t="n">
        <v>118</v>
      </c>
    </row>
    <row r="63">
      <c r="A63" t="inlineStr">
        <is>
          <t>2026-04-08</t>
        </is>
      </c>
      <c r="B63" t="inlineStr">
        <is>
          <t>Стирка-детский-Категория</t>
        </is>
      </c>
      <c r="C63" t="inlineStr">
        <is>
          <t>ABC-LDR-034</t>
        </is>
      </c>
      <c r="D63" t="n">
        <v>6525</v>
      </c>
      <c r="E63" t="n">
        <v>74205</v>
      </c>
      <c r="F63" t="n">
        <v>2111</v>
      </c>
      <c r="G63" t="n">
        <v>47</v>
      </c>
    </row>
    <row r="64">
      <c r="A64" t="inlineStr">
        <is>
          <t>2026-04-08</t>
        </is>
      </c>
      <c r="B64" t="inlineStr">
        <is>
          <t>Стирка-детский-Поиск</t>
        </is>
      </c>
      <c r="C64" t="inlineStr">
        <is>
          <t>ABC-LDR-034</t>
        </is>
      </c>
      <c r="D64" t="n">
        <v>7591</v>
      </c>
      <c r="E64" t="n">
        <v>120388</v>
      </c>
      <c r="F64" t="n">
        <v>5573</v>
      </c>
      <c r="G64" t="n">
        <v>133</v>
      </c>
    </row>
    <row r="65">
      <c r="A65" t="inlineStr">
        <is>
          <t>2026-04-08</t>
        </is>
      </c>
      <c r="B65" t="inlineStr">
        <is>
          <t>Стёкла-Карточка</t>
        </is>
      </c>
      <c r="C65" t="inlineStr">
        <is>
          <t>ABC-WND-009</t>
        </is>
      </c>
      <c r="D65" t="n">
        <v>2063</v>
      </c>
      <c r="E65" t="n">
        <v>19307</v>
      </c>
      <c r="F65" t="n">
        <v>763</v>
      </c>
      <c r="G65" t="n">
        <v>17</v>
      </c>
    </row>
    <row r="66">
      <c r="A66" t="inlineStr">
        <is>
          <t>2026-04-08</t>
        </is>
      </c>
      <c r="B66" t="inlineStr">
        <is>
          <t>Стёкла-Категория</t>
        </is>
      </c>
      <c r="C66" t="inlineStr">
        <is>
          <t>ABC-WND-009</t>
        </is>
      </c>
      <c r="D66" t="n">
        <v>1643</v>
      </c>
      <c r="E66" t="n">
        <v>24593</v>
      </c>
      <c r="F66" t="n">
        <v>966</v>
      </c>
      <c r="G66" t="n">
        <v>31</v>
      </c>
    </row>
    <row r="67">
      <c r="A67" t="inlineStr">
        <is>
          <t>2026-04-08</t>
        </is>
      </c>
      <c r="B67" t="inlineStr">
        <is>
          <t>Стёкла-Поиск</t>
        </is>
      </c>
      <c r="C67" t="inlineStr">
        <is>
          <t>ABC-WND-009</t>
        </is>
      </c>
      <c r="D67" t="n">
        <v>1772</v>
      </c>
      <c r="E67" t="n">
        <v>26920</v>
      </c>
      <c r="F67" t="n">
        <v>677</v>
      </c>
      <c r="G67" t="n">
        <v>41</v>
      </c>
    </row>
    <row r="68">
      <c r="A68" t="inlineStr">
        <is>
          <t>2026-04-09</t>
        </is>
      </c>
      <c r="B68" t="inlineStr">
        <is>
          <t>Кухня-крем-Поиск</t>
        </is>
      </c>
      <c r="C68" t="inlineStr">
        <is>
          <t>ABC-KIT-051</t>
        </is>
      </c>
      <c r="D68" t="n">
        <v>6806</v>
      </c>
      <c r="E68" t="n">
        <v>115086</v>
      </c>
      <c r="F68" t="n">
        <v>5019</v>
      </c>
      <c r="G68" t="n">
        <v>282</v>
      </c>
    </row>
    <row r="69">
      <c r="A69" t="inlineStr">
        <is>
          <t>2026-04-09</t>
        </is>
      </c>
      <c r="B69" t="inlineStr">
        <is>
          <t>Пол-апрель-Карточка</t>
        </is>
      </c>
      <c r="C69" t="inlineStr">
        <is>
          <t>ABC-CLN-042</t>
        </is>
      </c>
      <c r="D69" t="n">
        <v>7923</v>
      </c>
      <c r="E69" t="n">
        <v>63464</v>
      </c>
      <c r="F69" t="n">
        <v>2542</v>
      </c>
      <c r="G69" t="n">
        <v>79</v>
      </c>
    </row>
    <row r="70">
      <c r="A70" t="inlineStr">
        <is>
          <t>2026-04-09</t>
        </is>
      </c>
      <c r="B70" t="inlineStr">
        <is>
          <t>Пол-апрель-Поиск</t>
        </is>
      </c>
      <c r="C70" t="inlineStr">
        <is>
          <t>ABC-CLN-042</t>
        </is>
      </c>
      <c r="D70" t="n">
        <v>11081</v>
      </c>
      <c r="E70" t="n">
        <v>95941</v>
      </c>
      <c r="F70" t="n">
        <v>1777</v>
      </c>
      <c r="G70" t="n">
        <v>127</v>
      </c>
    </row>
    <row r="71">
      <c r="A71" t="inlineStr">
        <is>
          <t>2026-04-09</t>
        </is>
      </c>
      <c r="B71" t="inlineStr">
        <is>
          <t>Посуда-апрель-Карточка</t>
        </is>
      </c>
      <c r="C71" t="inlineStr">
        <is>
          <t>ABC-DSH-018</t>
        </is>
      </c>
      <c r="D71" t="n">
        <v>5588</v>
      </c>
      <c r="E71" t="n">
        <v>93271</v>
      </c>
      <c r="F71" t="n">
        <v>3190</v>
      </c>
      <c r="G71" t="n">
        <v>231</v>
      </c>
    </row>
    <row r="72">
      <c r="A72" t="inlineStr">
        <is>
          <t>2026-04-09</t>
        </is>
      </c>
      <c r="B72" t="inlineStr">
        <is>
          <t>Посуда-апрель-Поиск</t>
        </is>
      </c>
      <c r="C72" t="inlineStr">
        <is>
          <t>ABC-DSH-018</t>
        </is>
      </c>
      <c r="D72" t="n">
        <v>3003</v>
      </c>
      <c r="E72" t="n">
        <v>39214</v>
      </c>
      <c r="F72" t="n">
        <v>1478</v>
      </c>
      <c r="G72" t="n">
        <v>60</v>
      </c>
    </row>
    <row r="73">
      <c r="A73" t="inlineStr">
        <is>
          <t>2026-04-09</t>
        </is>
      </c>
      <c r="B73" t="inlineStr">
        <is>
          <t>Стирка-детский-Категория</t>
        </is>
      </c>
      <c r="C73" t="inlineStr">
        <is>
          <t>ABC-LDR-034</t>
        </is>
      </c>
      <c r="D73" t="n">
        <v>7343</v>
      </c>
      <c r="E73" t="n">
        <v>87459</v>
      </c>
      <c r="F73" t="n">
        <v>4013</v>
      </c>
      <c r="G73" t="n">
        <v>280</v>
      </c>
    </row>
    <row r="74">
      <c r="A74" t="inlineStr">
        <is>
          <t>2026-04-09</t>
        </is>
      </c>
      <c r="B74" t="inlineStr">
        <is>
          <t>Стирка-детский-Поиск</t>
        </is>
      </c>
      <c r="C74" t="inlineStr">
        <is>
          <t>ABC-LDR-034</t>
        </is>
      </c>
      <c r="D74" t="n">
        <v>6293</v>
      </c>
      <c r="E74" t="n">
        <v>98875</v>
      </c>
      <c r="F74" t="n">
        <v>2132</v>
      </c>
      <c r="G74" t="n">
        <v>108</v>
      </c>
    </row>
    <row r="75">
      <c r="A75" t="inlineStr">
        <is>
          <t>2026-04-09</t>
        </is>
      </c>
      <c r="B75" t="inlineStr">
        <is>
          <t>Стёкла-Карточка</t>
        </is>
      </c>
      <c r="C75" t="inlineStr">
        <is>
          <t>ABC-WND-009</t>
        </is>
      </c>
      <c r="D75" t="n">
        <v>2239</v>
      </c>
      <c r="E75" t="n">
        <v>22760</v>
      </c>
      <c r="F75" t="n">
        <v>959</v>
      </c>
      <c r="G75" t="n">
        <v>38</v>
      </c>
    </row>
    <row r="76">
      <c r="A76" t="inlineStr">
        <is>
          <t>2026-04-09</t>
        </is>
      </c>
      <c r="B76" t="inlineStr">
        <is>
          <t>Стёкла-Категория</t>
        </is>
      </c>
      <c r="C76" t="inlineStr">
        <is>
          <t>ABC-WND-009</t>
        </is>
      </c>
      <c r="D76" t="n">
        <v>1307</v>
      </c>
      <c r="E76" t="n">
        <v>16257</v>
      </c>
      <c r="F76" t="n">
        <v>460</v>
      </c>
      <c r="G76" t="n">
        <v>26</v>
      </c>
    </row>
    <row r="77">
      <c r="A77" t="inlineStr">
        <is>
          <t>2026-04-09</t>
        </is>
      </c>
      <c r="B77" t="inlineStr">
        <is>
          <t>Стёкла-Поиск</t>
        </is>
      </c>
      <c r="C77" t="inlineStr">
        <is>
          <t>ABC-WND-009</t>
        </is>
      </c>
      <c r="D77" t="n">
        <v>1323</v>
      </c>
      <c r="E77" t="n">
        <v>22143</v>
      </c>
      <c r="F77" t="n">
        <v>765</v>
      </c>
      <c r="G77" t="n">
        <v>46</v>
      </c>
    </row>
    <row r="78">
      <c r="A78" t="inlineStr">
        <is>
          <t>2026-04-10</t>
        </is>
      </c>
      <c r="B78" t="inlineStr">
        <is>
          <t>Кондиционер-Поиск</t>
        </is>
      </c>
      <c r="C78" t="inlineStr">
        <is>
          <t>ABC-LDR-027</t>
        </is>
      </c>
      <c r="D78" t="n">
        <v>8227</v>
      </c>
      <c r="E78" t="n">
        <v>75040</v>
      </c>
      <c r="F78" t="n">
        <v>2861</v>
      </c>
      <c r="G78" t="n">
        <v>70</v>
      </c>
    </row>
    <row r="79">
      <c r="A79" t="inlineStr">
        <is>
          <t>2026-04-10</t>
        </is>
      </c>
      <c r="B79" t="inlineStr">
        <is>
          <t>Кухня-крем-Поиск</t>
        </is>
      </c>
      <c r="C79" t="inlineStr">
        <is>
          <t>ABC-KIT-051</t>
        </is>
      </c>
      <c r="D79" t="n">
        <v>6045</v>
      </c>
      <c r="E79" t="n">
        <v>72178</v>
      </c>
      <c r="F79" t="n">
        <v>3172</v>
      </c>
      <c r="G79" t="n">
        <v>183</v>
      </c>
    </row>
    <row r="80">
      <c r="A80" t="inlineStr">
        <is>
          <t>2026-04-10</t>
        </is>
      </c>
      <c r="B80" t="inlineStr">
        <is>
          <t>Посуда-апрель-Карточка</t>
        </is>
      </c>
      <c r="C80" t="inlineStr">
        <is>
          <t>ABC-DSH-018</t>
        </is>
      </c>
      <c r="D80" t="n">
        <v>3780</v>
      </c>
      <c r="E80" t="n">
        <v>36645</v>
      </c>
      <c r="F80" t="n">
        <v>926</v>
      </c>
      <c r="G80" t="n">
        <v>49</v>
      </c>
    </row>
    <row r="81">
      <c r="A81" t="inlineStr">
        <is>
          <t>2026-04-10</t>
        </is>
      </c>
      <c r="B81" t="inlineStr">
        <is>
          <t>Посуда-апрель-Поиск</t>
        </is>
      </c>
      <c r="C81" t="inlineStr">
        <is>
          <t>ABC-DSH-018</t>
        </is>
      </c>
      <c r="D81" t="n">
        <v>4687</v>
      </c>
      <c r="E81" t="n">
        <v>48384</v>
      </c>
      <c r="F81" t="n">
        <v>2033</v>
      </c>
      <c r="G81" t="n">
        <v>60</v>
      </c>
    </row>
    <row r="82">
      <c r="A82" t="inlineStr">
        <is>
          <t>2026-04-10</t>
        </is>
      </c>
      <c r="B82" t="inlineStr">
        <is>
          <t>Стирка-детский-Категория</t>
        </is>
      </c>
      <c r="C82" t="inlineStr">
        <is>
          <t>ABC-LDR-034</t>
        </is>
      </c>
      <c r="D82" t="n">
        <v>4356</v>
      </c>
      <c r="E82" t="n">
        <v>36586</v>
      </c>
      <c r="F82" t="n">
        <v>887</v>
      </c>
      <c r="G82" t="n">
        <v>23</v>
      </c>
    </row>
    <row r="83">
      <c r="A83" t="inlineStr">
        <is>
          <t>2026-04-10</t>
        </is>
      </c>
      <c r="B83" t="inlineStr">
        <is>
          <t>Стирка-детский-Поиск</t>
        </is>
      </c>
      <c r="C83" t="inlineStr">
        <is>
          <t>ABC-LDR-034</t>
        </is>
      </c>
      <c r="D83" t="n">
        <v>5484</v>
      </c>
      <c r="E83" t="n">
        <v>66733</v>
      </c>
      <c r="F83" t="n">
        <v>2127</v>
      </c>
      <c r="G83" t="n">
        <v>168</v>
      </c>
    </row>
    <row r="84">
      <c r="A84" t="inlineStr">
        <is>
          <t>2026-04-11</t>
        </is>
      </c>
      <c r="B84" t="inlineStr">
        <is>
          <t>Пол-апрель-Карточка</t>
        </is>
      </c>
      <c r="C84" t="inlineStr">
        <is>
          <t>ABC-CLN-042</t>
        </is>
      </c>
      <c r="D84" t="n">
        <v>11997</v>
      </c>
      <c r="E84" t="n">
        <v>100179</v>
      </c>
      <c r="F84" t="n">
        <v>4220</v>
      </c>
      <c r="G84" t="n">
        <v>177</v>
      </c>
    </row>
    <row r="85">
      <c r="A85" t="inlineStr">
        <is>
          <t>2026-04-11</t>
        </is>
      </c>
      <c r="B85" t="inlineStr">
        <is>
          <t>Пол-апрель-Поиск</t>
        </is>
      </c>
      <c r="C85" t="inlineStr">
        <is>
          <t>ABC-CLN-042</t>
        </is>
      </c>
      <c r="D85" t="n">
        <v>9009</v>
      </c>
      <c r="E85" t="n">
        <v>123842</v>
      </c>
      <c r="F85" t="n">
        <v>5932</v>
      </c>
      <c r="G85" t="n">
        <v>127</v>
      </c>
    </row>
    <row r="86">
      <c r="A86" t="inlineStr">
        <is>
          <t>2026-04-11</t>
        </is>
      </c>
      <c r="B86" t="inlineStr">
        <is>
          <t>Стирка-детский-Категория</t>
        </is>
      </c>
      <c r="C86" t="inlineStr">
        <is>
          <t>ABC-LDR-034</t>
        </is>
      </c>
      <c r="D86" t="n">
        <v>6991</v>
      </c>
      <c r="E86" t="n">
        <v>68309</v>
      </c>
      <c r="F86" t="n">
        <v>1748</v>
      </c>
      <c r="G86" t="n">
        <v>98</v>
      </c>
    </row>
    <row r="87">
      <c r="A87" t="inlineStr">
        <is>
          <t>2026-04-11</t>
        </is>
      </c>
      <c r="B87" t="inlineStr">
        <is>
          <t>Стирка-детский-Поиск</t>
        </is>
      </c>
      <c r="C87" t="inlineStr">
        <is>
          <t>ABC-LDR-034</t>
        </is>
      </c>
      <c r="D87" t="n">
        <v>7435</v>
      </c>
      <c r="E87" t="n">
        <v>83353</v>
      </c>
      <c r="F87" t="n">
        <v>4050</v>
      </c>
      <c r="G87" t="n">
        <v>275</v>
      </c>
    </row>
    <row r="88">
      <c r="A88" t="inlineStr">
        <is>
          <t>2026-04-11</t>
        </is>
      </c>
      <c r="B88" t="inlineStr">
        <is>
          <t>Стёкла-Карточка</t>
        </is>
      </c>
      <c r="C88" t="inlineStr">
        <is>
          <t>ABC-WND-009</t>
        </is>
      </c>
      <c r="D88" t="n">
        <v>1174</v>
      </c>
      <c r="E88" t="n">
        <v>10066</v>
      </c>
      <c r="F88" t="n">
        <v>225</v>
      </c>
      <c r="G88" t="n">
        <v>7</v>
      </c>
    </row>
    <row r="89">
      <c r="A89" t="inlineStr">
        <is>
          <t>2026-04-11</t>
        </is>
      </c>
      <c r="B89" t="inlineStr">
        <is>
          <t>Стёкла-Категория</t>
        </is>
      </c>
      <c r="C89" t="inlineStr">
        <is>
          <t>ABC-WND-009</t>
        </is>
      </c>
      <c r="D89" t="n">
        <v>2254</v>
      </c>
      <c r="E89" t="n">
        <v>35641</v>
      </c>
      <c r="F89" t="n">
        <v>1578</v>
      </c>
      <c r="G89" t="n">
        <v>37</v>
      </c>
    </row>
    <row r="90">
      <c r="A90" t="inlineStr">
        <is>
          <t>2026-04-11</t>
        </is>
      </c>
      <c r="B90" t="inlineStr">
        <is>
          <t>Стёкла-Поиск</t>
        </is>
      </c>
      <c r="C90" t="inlineStr">
        <is>
          <t>ABC-WND-009</t>
        </is>
      </c>
      <c r="D90" t="n">
        <v>1073</v>
      </c>
      <c r="E90" t="n">
        <v>11830</v>
      </c>
      <c r="F90" t="n">
        <v>216</v>
      </c>
      <c r="G90" t="n">
        <v>16</v>
      </c>
    </row>
    <row r="91">
      <c r="A91" t="inlineStr">
        <is>
          <t>2026-04-12</t>
        </is>
      </c>
      <c r="B91" t="inlineStr">
        <is>
          <t>Кухня-крем-Поиск</t>
        </is>
      </c>
      <c r="C91" t="inlineStr">
        <is>
          <t>ABC-KIT-051</t>
        </is>
      </c>
      <c r="D91" t="n">
        <v>4526</v>
      </c>
      <c r="E91" t="n">
        <v>76617</v>
      </c>
      <c r="F91" t="n">
        <v>2267</v>
      </c>
      <c r="G91" t="n">
        <v>119</v>
      </c>
    </row>
    <row r="92">
      <c r="A92" t="inlineStr">
        <is>
          <t>2026-04-12</t>
        </is>
      </c>
      <c r="B92" t="inlineStr">
        <is>
          <t>Посуда-апрель-Карточка</t>
        </is>
      </c>
      <c r="C92" t="inlineStr">
        <is>
          <t>ABC-DSH-018</t>
        </is>
      </c>
      <c r="D92" t="n">
        <v>5972</v>
      </c>
      <c r="E92" t="n">
        <v>50508</v>
      </c>
      <c r="F92" t="n">
        <v>1720</v>
      </c>
      <c r="G92" t="n">
        <v>66</v>
      </c>
    </row>
    <row r="93">
      <c r="A93" t="inlineStr">
        <is>
          <t>2026-04-12</t>
        </is>
      </c>
      <c r="B93" t="inlineStr">
        <is>
          <t>Посуда-апрель-Поиск</t>
        </is>
      </c>
      <c r="C93" t="inlineStr">
        <is>
          <t>ABC-DSH-018</t>
        </is>
      </c>
      <c r="D93" t="n">
        <v>3896</v>
      </c>
      <c r="E93" t="n">
        <v>43937</v>
      </c>
      <c r="F93" t="n">
        <v>1678</v>
      </c>
      <c r="G93" t="n">
        <v>129</v>
      </c>
    </row>
    <row r="94">
      <c r="A94" t="inlineStr">
        <is>
          <t>2026-04-12</t>
        </is>
      </c>
      <c r="B94" t="inlineStr">
        <is>
          <t>Стёкла-Карточка</t>
        </is>
      </c>
      <c r="C94" t="inlineStr">
        <is>
          <t>ABC-WND-009</t>
        </is>
      </c>
      <c r="D94" t="n">
        <v>1698</v>
      </c>
      <c r="E94" t="n">
        <v>16655</v>
      </c>
      <c r="F94" t="n">
        <v>461</v>
      </c>
      <c r="G94" t="n">
        <v>27</v>
      </c>
    </row>
    <row r="95">
      <c r="A95" t="inlineStr">
        <is>
          <t>2026-04-12</t>
        </is>
      </c>
      <c r="B95" t="inlineStr">
        <is>
          <t>Стёкла-Категория</t>
        </is>
      </c>
      <c r="C95" t="inlineStr">
        <is>
          <t>ABC-WND-009</t>
        </is>
      </c>
      <c r="D95" t="n">
        <v>1491</v>
      </c>
      <c r="E95" t="n">
        <v>26649</v>
      </c>
      <c r="F95" t="n">
        <v>529</v>
      </c>
      <c r="G95" t="n">
        <v>28</v>
      </c>
    </row>
    <row r="96">
      <c r="A96" t="inlineStr">
        <is>
          <t>2026-04-12</t>
        </is>
      </c>
      <c r="B96" t="inlineStr">
        <is>
          <t>Стёкла-Поиск</t>
        </is>
      </c>
      <c r="C96" t="inlineStr">
        <is>
          <t>ABC-WND-009</t>
        </is>
      </c>
      <c r="D96" t="n">
        <v>2093</v>
      </c>
      <c r="E96" t="n">
        <v>17990</v>
      </c>
      <c r="F96" t="n">
        <v>508</v>
      </c>
      <c r="G96" t="n">
        <v>35</v>
      </c>
    </row>
    <row r="97">
      <c r="A97" t="inlineStr">
        <is>
          <t>2026-04-13</t>
        </is>
      </c>
      <c r="B97" t="inlineStr">
        <is>
          <t>Кондиционер-Поиск</t>
        </is>
      </c>
      <c r="C97" t="inlineStr">
        <is>
          <t>ABC-LDR-027</t>
        </is>
      </c>
      <c r="D97" t="n">
        <v>4466</v>
      </c>
      <c r="E97" t="n">
        <v>74030</v>
      </c>
      <c r="F97" t="n">
        <v>2804</v>
      </c>
      <c r="G97" t="n">
        <v>142</v>
      </c>
    </row>
    <row r="98">
      <c r="A98" t="inlineStr">
        <is>
          <t>2026-04-13</t>
        </is>
      </c>
      <c r="B98" t="inlineStr">
        <is>
          <t>Пол-апрель-Карточка</t>
        </is>
      </c>
      <c r="C98" t="inlineStr">
        <is>
          <t>ABC-CLN-042</t>
        </is>
      </c>
      <c r="D98" t="n">
        <v>9696</v>
      </c>
      <c r="E98" t="n">
        <v>153252</v>
      </c>
      <c r="F98" t="n">
        <v>6696</v>
      </c>
      <c r="G98" t="n">
        <v>426</v>
      </c>
    </row>
    <row r="99">
      <c r="A99" t="inlineStr">
        <is>
          <t>2026-04-13</t>
        </is>
      </c>
      <c r="B99" t="inlineStr">
        <is>
          <t>Пол-апрель-Поиск</t>
        </is>
      </c>
      <c r="C99" t="inlineStr">
        <is>
          <t>ABC-CLN-042</t>
        </is>
      </c>
      <c r="D99" t="n">
        <v>7165</v>
      </c>
      <c r="E99" t="n">
        <v>85404</v>
      </c>
      <c r="F99" t="n">
        <v>3226</v>
      </c>
      <c r="G99" t="n">
        <v>91</v>
      </c>
    </row>
    <row r="100">
      <c r="A100" t="inlineStr">
        <is>
          <t>2026-04-13</t>
        </is>
      </c>
      <c r="B100" t="inlineStr">
        <is>
          <t>Посуда-апрель-Карточка</t>
        </is>
      </c>
      <c r="C100" t="inlineStr">
        <is>
          <t>ABC-DSH-018</t>
        </is>
      </c>
      <c r="D100" t="n">
        <v>5634</v>
      </c>
      <c r="E100" t="n">
        <v>66376</v>
      </c>
      <c r="F100" t="n">
        <v>3240</v>
      </c>
      <c r="G100" t="n">
        <v>132</v>
      </c>
    </row>
    <row r="101">
      <c r="A101" t="inlineStr">
        <is>
          <t>2026-04-13</t>
        </is>
      </c>
      <c r="B101" t="inlineStr">
        <is>
          <t>Посуда-апрель-Поиск</t>
        </is>
      </c>
      <c r="C101" t="inlineStr">
        <is>
          <t>ABC-DSH-018</t>
        </is>
      </c>
      <c r="D101" t="n">
        <v>5297</v>
      </c>
      <c r="E101" t="n">
        <v>52551</v>
      </c>
      <c r="F101" t="n">
        <v>1730</v>
      </c>
      <c r="G101" t="n">
        <v>61</v>
      </c>
    </row>
    <row r="102">
      <c r="A102" t="inlineStr">
        <is>
          <t>2026-04-13</t>
        </is>
      </c>
      <c r="B102" t="inlineStr">
        <is>
          <t>Стёкла-Карточка</t>
        </is>
      </c>
      <c r="C102" t="inlineStr">
        <is>
          <t>ABC-WND-009</t>
        </is>
      </c>
      <c r="D102" t="n">
        <v>1780</v>
      </c>
      <c r="E102" t="n">
        <v>22519</v>
      </c>
      <c r="F102" t="n">
        <v>560</v>
      </c>
      <c r="G102" t="n">
        <v>37</v>
      </c>
    </row>
    <row r="103">
      <c r="A103" t="inlineStr">
        <is>
          <t>2026-04-13</t>
        </is>
      </c>
      <c r="B103" t="inlineStr">
        <is>
          <t>Стёкла-Категория</t>
        </is>
      </c>
      <c r="C103" t="inlineStr">
        <is>
          <t>ABC-WND-009</t>
        </is>
      </c>
      <c r="D103" t="n">
        <v>2124</v>
      </c>
      <c r="E103" t="n">
        <v>21828</v>
      </c>
      <c r="F103" t="n">
        <v>549</v>
      </c>
      <c r="G103" t="n">
        <v>18</v>
      </c>
    </row>
    <row r="104">
      <c r="A104" t="inlineStr">
        <is>
          <t>2026-04-13</t>
        </is>
      </c>
      <c r="B104" t="inlineStr">
        <is>
          <t>Стёкла-Поиск</t>
        </is>
      </c>
      <c r="C104" t="inlineStr">
        <is>
          <t>ABC-WND-009</t>
        </is>
      </c>
      <c r="D104" t="n">
        <v>1350</v>
      </c>
      <c r="E104" t="n">
        <v>14650</v>
      </c>
      <c r="F104" t="n">
        <v>644</v>
      </c>
      <c r="G104" t="n">
        <v>49</v>
      </c>
    </row>
    <row r="105">
      <c r="A105" t="inlineStr">
        <is>
          <t>2026-04-14</t>
        </is>
      </c>
      <c r="B105" t="inlineStr">
        <is>
          <t>Кондиционер-Поиск</t>
        </is>
      </c>
      <c r="C105" t="inlineStr">
        <is>
          <t>ABC-LDR-027</t>
        </is>
      </c>
      <c r="D105" t="n">
        <v>9802</v>
      </c>
      <c r="E105" t="n">
        <v>138041</v>
      </c>
      <c r="F105" t="n">
        <v>5144</v>
      </c>
      <c r="G105" t="n">
        <v>232</v>
      </c>
    </row>
    <row r="106">
      <c r="A106" t="inlineStr">
        <is>
          <t>2026-04-14</t>
        </is>
      </c>
      <c r="B106" t="inlineStr">
        <is>
          <t>Кухня-крем-Поиск</t>
        </is>
      </c>
      <c r="C106" t="inlineStr">
        <is>
          <t>ABC-KIT-051</t>
        </is>
      </c>
      <c r="D106" t="n">
        <v>4548</v>
      </c>
      <c r="E106" t="n">
        <v>60219</v>
      </c>
      <c r="F106" t="n">
        <v>2847</v>
      </c>
      <c r="G106" t="n">
        <v>80</v>
      </c>
    </row>
    <row r="107">
      <c r="A107" t="inlineStr">
        <is>
          <t>2026-04-14</t>
        </is>
      </c>
      <c r="B107" t="inlineStr">
        <is>
          <t>Пол-апрель-Карточка</t>
        </is>
      </c>
      <c r="C107" t="inlineStr">
        <is>
          <t>ABC-CLN-042</t>
        </is>
      </c>
      <c r="D107" t="n">
        <v>9101</v>
      </c>
      <c r="E107" t="n">
        <v>84820</v>
      </c>
      <c r="F107" t="n">
        <v>1394</v>
      </c>
      <c r="G107" t="n">
        <v>32</v>
      </c>
    </row>
    <row r="108">
      <c r="A108" t="inlineStr">
        <is>
          <t>2026-04-14</t>
        </is>
      </c>
      <c r="B108" t="inlineStr">
        <is>
          <t>Пол-апрель-Поиск</t>
        </is>
      </c>
      <c r="C108" t="inlineStr">
        <is>
          <t>ABC-CLN-042</t>
        </is>
      </c>
      <c r="D108" t="n">
        <v>10467</v>
      </c>
      <c r="E108" t="n">
        <v>157523</v>
      </c>
      <c r="F108" t="n">
        <v>3184</v>
      </c>
      <c r="G108" t="n">
        <v>137</v>
      </c>
    </row>
    <row r="109">
      <c r="A109" t="inlineStr">
        <is>
          <t>2026-04-14</t>
        </is>
      </c>
      <c r="B109" t="inlineStr">
        <is>
          <t>Посуда-апрель-Карточка</t>
        </is>
      </c>
      <c r="C109" t="inlineStr">
        <is>
          <t>ABC-DSH-018</t>
        </is>
      </c>
      <c r="D109" t="n">
        <v>3222</v>
      </c>
      <c r="E109" t="n">
        <v>49508</v>
      </c>
      <c r="F109" t="n">
        <v>914</v>
      </c>
      <c r="G109" t="n">
        <v>30</v>
      </c>
    </row>
    <row r="110">
      <c r="A110" t="inlineStr">
        <is>
          <t>2026-04-14</t>
        </is>
      </c>
      <c r="B110" t="inlineStr">
        <is>
          <t>Посуда-апрель-Поиск</t>
        </is>
      </c>
      <c r="C110" t="inlineStr">
        <is>
          <t>ABC-DSH-018</t>
        </is>
      </c>
      <c r="D110" t="n">
        <v>3665</v>
      </c>
      <c r="E110" t="n">
        <v>45718</v>
      </c>
      <c r="F110" t="n">
        <v>2249</v>
      </c>
      <c r="G110" t="n">
        <v>161</v>
      </c>
    </row>
    <row r="111">
      <c r="A111" t="inlineStr">
        <is>
          <t>2026-04-14</t>
        </is>
      </c>
      <c r="B111" t="inlineStr">
        <is>
          <t>Стирка-детский-Категория</t>
        </is>
      </c>
      <c r="C111" t="inlineStr">
        <is>
          <t>ABC-LDR-034</t>
        </is>
      </c>
      <c r="D111" t="n">
        <v>4673</v>
      </c>
      <c r="E111" t="n">
        <v>64566</v>
      </c>
      <c r="F111" t="n">
        <v>2880</v>
      </c>
      <c r="G111" t="n">
        <v>173</v>
      </c>
    </row>
    <row r="112">
      <c r="A112" t="inlineStr">
        <is>
          <t>2026-04-14</t>
        </is>
      </c>
      <c r="B112" t="inlineStr">
        <is>
          <t>Стирка-детский-Поиск</t>
        </is>
      </c>
      <c r="C112" t="inlineStr">
        <is>
          <t>ABC-LDR-034</t>
        </is>
      </c>
      <c r="D112" t="n">
        <v>4870</v>
      </c>
      <c r="E112" t="n">
        <v>48189</v>
      </c>
      <c r="F112" t="n">
        <v>1914</v>
      </c>
      <c r="G112" t="n">
        <v>75</v>
      </c>
    </row>
    <row r="113">
      <c r="A113" t="inlineStr">
        <is>
          <t>2026-04-14</t>
        </is>
      </c>
      <c r="B113" t="inlineStr">
        <is>
          <t>Стёкла-Карточка</t>
        </is>
      </c>
      <c r="C113" t="inlineStr">
        <is>
          <t>ABC-WND-009</t>
        </is>
      </c>
      <c r="D113" t="n">
        <v>1819</v>
      </c>
      <c r="E113" t="n">
        <v>25807</v>
      </c>
      <c r="F113" t="n">
        <v>914</v>
      </c>
      <c r="G113" t="n">
        <v>35</v>
      </c>
    </row>
    <row r="114">
      <c r="A114" t="inlineStr">
        <is>
          <t>2026-04-14</t>
        </is>
      </c>
      <c r="B114" t="inlineStr">
        <is>
          <t>Стёкла-Категория</t>
        </is>
      </c>
      <c r="C114" t="inlineStr">
        <is>
          <t>ABC-WND-009</t>
        </is>
      </c>
      <c r="D114" t="n">
        <v>1666</v>
      </c>
      <c r="E114" t="n">
        <v>18539</v>
      </c>
      <c r="F114" t="n">
        <v>349</v>
      </c>
      <c r="G114" t="n">
        <v>9</v>
      </c>
    </row>
    <row r="115">
      <c r="A115" t="inlineStr">
        <is>
          <t>2026-04-14</t>
        </is>
      </c>
      <c r="B115" t="inlineStr">
        <is>
          <t>Стёкла-Поиск</t>
        </is>
      </c>
      <c r="C115" t="inlineStr">
        <is>
          <t>ABC-WND-009</t>
        </is>
      </c>
      <c r="D115" t="n">
        <v>2001</v>
      </c>
      <c r="E115" t="n">
        <v>26683</v>
      </c>
      <c r="F115" t="n">
        <v>1029</v>
      </c>
      <c r="G115" t="n">
        <v>69</v>
      </c>
    </row>
    <row r="116">
      <c r="A116" t="inlineStr">
        <is>
          <t>2026-04-15</t>
        </is>
      </c>
      <c r="B116" t="inlineStr">
        <is>
          <t>Кондиционер-Поиск</t>
        </is>
      </c>
      <c r="C116" t="inlineStr">
        <is>
          <t>ABC-LDR-027</t>
        </is>
      </c>
      <c r="D116" t="n">
        <v>7885</v>
      </c>
      <c r="E116" t="n">
        <v>137492</v>
      </c>
      <c r="F116" t="n">
        <v>5651</v>
      </c>
      <c r="G116" t="n">
        <v>380</v>
      </c>
    </row>
    <row r="117">
      <c r="A117" t="inlineStr">
        <is>
          <t>2026-04-15</t>
        </is>
      </c>
      <c r="B117" t="inlineStr">
        <is>
          <t>Посуда-апрель-Карточка</t>
        </is>
      </c>
      <c r="C117" t="inlineStr">
        <is>
          <t>ABC-DSH-018</t>
        </is>
      </c>
      <c r="D117" t="n">
        <v>5845</v>
      </c>
      <c r="E117" t="n">
        <v>74739</v>
      </c>
      <c r="F117" t="n">
        <v>1596</v>
      </c>
      <c r="G117" t="n">
        <v>67</v>
      </c>
    </row>
    <row r="118">
      <c r="A118" t="inlineStr">
        <is>
          <t>2026-04-15</t>
        </is>
      </c>
      <c r="B118" t="inlineStr">
        <is>
          <t>Посуда-апрель-Поиск</t>
        </is>
      </c>
      <c r="C118" t="inlineStr">
        <is>
          <t>ABC-DSH-018</t>
        </is>
      </c>
      <c r="D118" t="n">
        <v>5951</v>
      </c>
      <c r="E118" t="n">
        <v>75460</v>
      </c>
      <c r="F118" t="n">
        <v>1476</v>
      </c>
      <c r="G118" t="n">
        <v>99</v>
      </c>
    </row>
    <row r="119">
      <c r="A119" t="inlineStr">
        <is>
          <t>2026-04-15</t>
        </is>
      </c>
      <c r="B119" t="inlineStr">
        <is>
          <t>Стёкла-Карточка</t>
        </is>
      </c>
      <c r="C119" t="inlineStr">
        <is>
          <t>ABC-WND-009</t>
        </is>
      </c>
      <c r="D119" t="n">
        <v>1667</v>
      </c>
      <c r="E119" t="n">
        <v>25740</v>
      </c>
      <c r="F119" t="n">
        <v>1018</v>
      </c>
      <c r="G119" t="n">
        <v>63</v>
      </c>
    </row>
    <row r="120">
      <c r="A120" t="inlineStr">
        <is>
          <t>2026-04-15</t>
        </is>
      </c>
      <c r="B120" t="inlineStr">
        <is>
          <t>Стёкла-Категория</t>
        </is>
      </c>
      <c r="C120" t="inlineStr">
        <is>
          <t>ABC-WND-009</t>
        </is>
      </c>
      <c r="D120" t="n">
        <v>1211</v>
      </c>
      <c r="E120" t="n">
        <v>13420</v>
      </c>
      <c r="F120" t="n">
        <v>639</v>
      </c>
      <c r="G120" t="n">
        <v>19</v>
      </c>
    </row>
    <row r="121">
      <c r="A121" t="inlineStr">
        <is>
          <t>2026-04-15</t>
        </is>
      </c>
      <c r="B121" t="inlineStr">
        <is>
          <t>Стёкла-Поиск</t>
        </is>
      </c>
      <c r="C121" t="inlineStr">
        <is>
          <t>ABC-WND-009</t>
        </is>
      </c>
      <c r="D121" t="n">
        <v>2066</v>
      </c>
      <c r="E121" t="n">
        <v>33828</v>
      </c>
      <c r="F121" t="n">
        <v>1524</v>
      </c>
      <c r="G121" t="n">
        <v>42</v>
      </c>
    </row>
    <row r="122">
      <c r="A122" t="inlineStr">
        <is>
          <t>2026-04-16</t>
        </is>
      </c>
      <c r="B122" t="inlineStr">
        <is>
          <t>Кондиционер-Поиск</t>
        </is>
      </c>
      <c r="C122" t="inlineStr">
        <is>
          <t>ABC-LDR-027</t>
        </is>
      </c>
      <c r="D122" t="n">
        <v>9895</v>
      </c>
      <c r="E122" t="n">
        <v>174431</v>
      </c>
      <c r="F122" t="n">
        <v>4025</v>
      </c>
      <c r="G122" t="n">
        <v>280</v>
      </c>
    </row>
    <row r="123">
      <c r="A123" t="inlineStr">
        <is>
          <t>2026-04-16</t>
        </is>
      </c>
      <c r="B123" t="inlineStr">
        <is>
          <t>Кухня-крем-Поиск</t>
        </is>
      </c>
      <c r="C123" t="inlineStr">
        <is>
          <t>ABC-KIT-051</t>
        </is>
      </c>
      <c r="D123" t="n">
        <v>4892</v>
      </c>
      <c r="E123" t="n">
        <v>57139</v>
      </c>
      <c r="F123" t="n">
        <v>2124</v>
      </c>
      <c r="G123" t="n">
        <v>95</v>
      </c>
    </row>
    <row r="124">
      <c r="A124" t="inlineStr">
        <is>
          <t>2026-04-16</t>
        </is>
      </c>
      <c r="B124" t="inlineStr">
        <is>
          <t>Стирка-детский-Категория</t>
        </is>
      </c>
      <c r="C124" t="inlineStr">
        <is>
          <t>ABC-LDR-034</t>
        </is>
      </c>
      <c r="D124" t="n">
        <v>7375</v>
      </c>
      <c r="E124" t="n">
        <v>96882</v>
      </c>
      <c r="F124" t="n">
        <v>4842</v>
      </c>
      <c r="G124" t="n">
        <v>334</v>
      </c>
    </row>
    <row r="125">
      <c r="A125" t="inlineStr">
        <is>
          <t>2026-04-16</t>
        </is>
      </c>
      <c r="B125" t="inlineStr">
        <is>
          <t>Стирка-детский-Поиск</t>
        </is>
      </c>
      <c r="C125" t="inlineStr">
        <is>
          <t>ABC-LDR-034</t>
        </is>
      </c>
      <c r="D125" t="n">
        <v>6109</v>
      </c>
      <c r="E125" t="n">
        <v>73681</v>
      </c>
      <c r="F125" t="n">
        <v>1559</v>
      </c>
      <c r="G125" t="n">
        <v>83</v>
      </c>
    </row>
    <row r="126">
      <c r="A126" t="inlineStr">
        <is>
          <t>2026-04-16</t>
        </is>
      </c>
      <c r="B126" t="inlineStr">
        <is>
          <t>Стёкла-Карточка</t>
        </is>
      </c>
      <c r="C126" t="inlineStr">
        <is>
          <t>ABC-WND-009</t>
        </is>
      </c>
      <c r="D126" t="n">
        <v>1293</v>
      </c>
      <c r="E126" t="n">
        <v>15133</v>
      </c>
      <c r="F126" t="n">
        <v>348</v>
      </c>
      <c r="G126" t="n">
        <v>19</v>
      </c>
    </row>
    <row r="127">
      <c r="A127" t="inlineStr">
        <is>
          <t>2026-04-16</t>
        </is>
      </c>
      <c r="B127" t="inlineStr">
        <is>
          <t>Стёкла-Категория</t>
        </is>
      </c>
      <c r="C127" t="inlineStr">
        <is>
          <t>ABC-WND-009</t>
        </is>
      </c>
      <c r="D127" t="n">
        <v>1764</v>
      </c>
      <c r="E127" t="n">
        <v>27938</v>
      </c>
      <c r="F127" t="n">
        <v>824</v>
      </c>
      <c r="G127" t="n">
        <v>48</v>
      </c>
    </row>
    <row r="128">
      <c r="A128" t="inlineStr">
        <is>
          <t>2026-04-16</t>
        </is>
      </c>
      <c r="B128" t="inlineStr">
        <is>
          <t>Стёкла-Поиск</t>
        </is>
      </c>
      <c r="C128" t="inlineStr">
        <is>
          <t>ABC-WND-009</t>
        </is>
      </c>
      <c r="D128" t="n">
        <v>1852</v>
      </c>
      <c r="E128" t="n">
        <v>15681</v>
      </c>
      <c r="F128" t="n">
        <v>476</v>
      </c>
      <c r="G128" t="n">
        <v>14</v>
      </c>
    </row>
    <row r="129">
      <c r="A129" t="inlineStr">
        <is>
          <t>2026-04-17</t>
        </is>
      </c>
      <c r="B129" t="inlineStr">
        <is>
          <t>Кухня-крем-Поиск</t>
        </is>
      </c>
      <c r="C129" t="inlineStr">
        <is>
          <t>ABC-KIT-051</t>
        </is>
      </c>
      <c r="D129" t="n">
        <v>5964</v>
      </c>
      <c r="E129" t="n">
        <v>93782</v>
      </c>
      <c r="F129" t="n">
        <v>2560</v>
      </c>
      <c r="G129" t="n">
        <v>128</v>
      </c>
    </row>
    <row r="130">
      <c r="A130" t="inlineStr">
        <is>
          <t>2026-04-17</t>
        </is>
      </c>
      <c r="B130" t="inlineStr">
        <is>
          <t>Пол-апрель-Карточка</t>
        </is>
      </c>
      <c r="C130" t="inlineStr">
        <is>
          <t>ABC-CLN-042</t>
        </is>
      </c>
      <c r="D130" t="n">
        <v>12644</v>
      </c>
      <c r="E130" t="n">
        <v>214647</v>
      </c>
      <c r="F130" t="n">
        <v>10071</v>
      </c>
      <c r="G130" t="n">
        <v>236</v>
      </c>
    </row>
    <row r="131">
      <c r="A131" t="inlineStr">
        <is>
          <t>2026-04-17</t>
        </is>
      </c>
      <c r="B131" t="inlineStr">
        <is>
          <t>Пол-апрель-Поиск</t>
        </is>
      </c>
      <c r="C131" t="inlineStr">
        <is>
          <t>ABC-CLN-042</t>
        </is>
      </c>
      <c r="D131" t="n">
        <v>14795</v>
      </c>
      <c r="E131" t="n">
        <v>174230</v>
      </c>
      <c r="F131" t="n">
        <v>4561</v>
      </c>
      <c r="G131" t="n">
        <v>271</v>
      </c>
    </row>
    <row r="132">
      <c r="A132" t="inlineStr">
        <is>
          <t>2026-04-17</t>
        </is>
      </c>
      <c r="B132" t="inlineStr">
        <is>
          <t>Посуда-апрель-Карточка</t>
        </is>
      </c>
      <c r="C132" t="inlineStr">
        <is>
          <t>ABC-DSH-018</t>
        </is>
      </c>
      <c r="D132" t="n">
        <v>4651</v>
      </c>
      <c r="E132" t="n">
        <v>52390</v>
      </c>
      <c r="F132" t="n">
        <v>977</v>
      </c>
      <c r="G132" t="n">
        <v>72</v>
      </c>
    </row>
    <row r="133">
      <c r="A133" t="inlineStr">
        <is>
          <t>2026-04-17</t>
        </is>
      </c>
      <c r="B133" t="inlineStr">
        <is>
          <t>Посуда-апрель-Поиск</t>
        </is>
      </c>
      <c r="C133" t="inlineStr">
        <is>
          <t>ABC-DSH-018</t>
        </is>
      </c>
      <c r="D133" t="n">
        <v>3891</v>
      </c>
      <c r="E133" t="n">
        <v>44064</v>
      </c>
      <c r="F133" t="n">
        <v>1535</v>
      </c>
      <c r="G133" t="n">
        <v>119</v>
      </c>
    </row>
    <row r="134">
      <c r="A134" t="inlineStr">
        <is>
          <t>2026-04-17</t>
        </is>
      </c>
      <c r="B134" t="inlineStr">
        <is>
          <t>Стирка-детский-Категория</t>
        </is>
      </c>
      <c r="C134" t="inlineStr">
        <is>
          <t>ABC-LDR-034</t>
        </is>
      </c>
      <c r="D134" t="n">
        <v>4723</v>
      </c>
      <c r="E134" t="n">
        <v>71734</v>
      </c>
      <c r="F134" t="n">
        <v>1887</v>
      </c>
      <c r="G134" t="n">
        <v>118</v>
      </c>
    </row>
    <row r="135">
      <c r="A135" t="inlineStr">
        <is>
          <t>2026-04-17</t>
        </is>
      </c>
      <c r="B135" t="inlineStr">
        <is>
          <t>Стирка-детский-Поиск</t>
        </is>
      </c>
      <c r="C135" t="inlineStr">
        <is>
          <t>ABC-LDR-034</t>
        </is>
      </c>
      <c r="D135" t="n">
        <v>4304</v>
      </c>
      <c r="E135" t="n">
        <v>66453</v>
      </c>
      <c r="F135" t="n">
        <v>2460</v>
      </c>
      <c r="G135" t="n">
        <v>98</v>
      </c>
    </row>
    <row r="136">
      <c r="A136" t="inlineStr">
        <is>
          <t>2026-04-18</t>
        </is>
      </c>
      <c r="B136" t="inlineStr">
        <is>
          <t>Кондиционер-Поиск</t>
        </is>
      </c>
      <c r="C136" t="inlineStr">
        <is>
          <t>ABC-LDR-027</t>
        </is>
      </c>
      <c r="D136" t="n">
        <v>9916</v>
      </c>
      <c r="E136" t="n">
        <v>143501</v>
      </c>
      <c r="F136" t="n">
        <v>2594</v>
      </c>
      <c r="G136" t="n">
        <v>193</v>
      </c>
    </row>
    <row r="137">
      <c r="A137" t="inlineStr">
        <is>
          <t>2026-04-18</t>
        </is>
      </c>
      <c r="B137" t="inlineStr">
        <is>
          <t>Пол-апрель-Карточка</t>
        </is>
      </c>
      <c r="C137" t="inlineStr">
        <is>
          <t>ABC-CLN-042</t>
        </is>
      </c>
      <c r="D137" t="n">
        <v>8498</v>
      </c>
      <c r="E137" t="n">
        <v>144365</v>
      </c>
      <c r="F137" t="n">
        <v>3824</v>
      </c>
      <c r="G137" t="n">
        <v>282</v>
      </c>
    </row>
    <row r="138">
      <c r="A138" t="inlineStr">
        <is>
          <t>2026-04-18</t>
        </is>
      </c>
      <c r="B138" t="inlineStr">
        <is>
          <t>Пол-апрель-Поиск</t>
        </is>
      </c>
      <c r="C138" t="inlineStr">
        <is>
          <t>ABC-CLN-042</t>
        </is>
      </c>
      <c r="D138" t="n">
        <v>8550</v>
      </c>
      <c r="E138" t="n">
        <v>101677</v>
      </c>
      <c r="F138" t="n">
        <v>2615</v>
      </c>
      <c r="G138" t="n">
        <v>140</v>
      </c>
    </row>
    <row r="139">
      <c r="A139" t="inlineStr">
        <is>
          <t>2026-04-18</t>
        </is>
      </c>
      <c r="B139" t="inlineStr">
        <is>
          <t>Посуда-апрель-Карточка</t>
        </is>
      </c>
      <c r="C139" t="inlineStr">
        <is>
          <t>ABC-DSH-018</t>
        </is>
      </c>
      <c r="D139" t="n">
        <v>3026</v>
      </c>
      <c r="E139" t="n">
        <v>28209</v>
      </c>
      <c r="F139" t="n">
        <v>524</v>
      </c>
      <c r="G139" t="n">
        <v>23</v>
      </c>
    </row>
    <row r="140">
      <c r="A140" t="inlineStr">
        <is>
          <t>2026-04-18</t>
        </is>
      </c>
      <c r="B140" t="inlineStr">
        <is>
          <t>Посуда-апрель-Поиск</t>
        </is>
      </c>
      <c r="C140" t="inlineStr">
        <is>
          <t>ABC-DSH-018</t>
        </is>
      </c>
      <c r="D140" t="n">
        <v>4086</v>
      </c>
      <c r="E140" t="n">
        <v>40084</v>
      </c>
      <c r="F140" t="n">
        <v>894</v>
      </c>
      <c r="G140" t="n">
        <v>39</v>
      </c>
    </row>
    <row r="141">
      <c r="A141" t="inlineStr">
        <is>
          <t>2026-04-18</t>
        </is>
      </c>
      <c r="B141" t="inlineStr">
        <is>
          <t>Стирка-детский-Категория</t>
        </is>
      </c>
      <c r="C141" t="inlineStr">
        <is>
          <t>ABC-LDR-034</t>
        </is>
      </c>
      <c r="D141" t="n">
        <v>3927</v>
      </c>
      <c r="E141" t="n">
        <v>45217</v>
      </c>
      <c r="F141" t="n">
        <v>1921</v>
      </c>
      <c r="G141" t="n">
        <v>102</v>
      </c>
    </row>
    <row r="142">
      <c r="A142" t="inlineStr">
        <is>
          <t>2026-04-18</t>
        </is>
      </c>
      <c r="B142" t="inlineStr">
        <is>
          <t>Стирка-детский-Поиск</t>
        </is>
      </c>
      <c r="C142" t="inlineStr">
        <is>
          <t>ABC-LDR-034</t>
        </is>
      </c>
      <c r="D142" t="n">
        <v>5033</v>
      </c>
      <c r="E142" t="n">
        <v>71319</v>
      </c>
      <c r="F142" t="n">
        <v>1509</v>
      </c>
      <c r="G142" t="n">
        <v>59</v>
      </c>
    </row>
    <row r="143">
      <c r="A143" t="inlineStr">
        <is>
          <t>2026-04-18</t>
        </is>
      </c>
      <c r="B143" t="inlineStr">
        <is>
          <t>Стёкла-Карточка</t>
        </is>
      </c>
      <c r="C143" t="inlineStr">
        <is>
          <t>ABC-WND-009</t>
        </is>
      </c>
      <c r="D143" t="n">
        <v>1351</v>
      </c>
      <c r="E143" t="n">
        <v>22290</v>
      </c>
      <c r="F143" t="n">
        <v>980</v>
      </c>
      <c r="G143" t="n">
        <v>47</v>
      </c>
    </row>
    <row r="144">
      <c r="A144" t="inlineStr">
        <is>
          <t>2026-04-18</t>
        </is>
      </c>
      <c r="B144" t="inlineStr">
        <is>
          <t>Стёкла-Категория</t>
        </is>
      </c>
      <c r="C144" t="inlineStr">
        <is>
          <t>ABC-WND-009</t>
        </is>
      </c>
      <c r="D144" t="n">
        <v>1210</v>
      </c>
      <c r="E144" t="n">
        <v>14292</v>
      </c>
      <c r="F144" t="n">
        <v>318</v>
      </c>
      <c r="G144" t="n">
        <v>12</v>
      </c>
    </row>
    <row r="145">
      <c r="A145" t="inlineStr">
        <is>
          <t>2026-04-18</t>
        </is>
      </c>
      <c r="B145" t="inlineStr">
        <is>
          <t>Стёкла-Поиск</t>
        </is>
      </c>
      <c r="C145" t="inlineStr">
        <is>
          <t>ABC-WND-009</t>
        </is>
      </c>
      <c r="D145" t="n">
        <v>2051</v>
      </c>
      <c r="E145" t="n">
        <v>19087</v>
      </c>
      <c r="F145" t="n">
        <v>448</v>
      </c>
      <c r="G145" t="n">
        <v>30</v>
      </c>
    </row>
    <row r="146">
      <c r="A146" t="inlineStr">
        <is>
          <t>2026-04-19</t>
        </is>
      </c>
      <c r="B146" t="inlineStr">
        <is>
          <t>Кондиционер-Поиск</t>
        </is>
      </c>
      <c r="C146" t="inlineStr">
        <is>
          <t>ABC-LDR-027</t>
        </is>
      </c>
      <c r="D146" t="n">
        <v>5637</v>
      </c>
      <c r="E146" t="n">
        <v>89799</v>
      </c>
      <c r="F146" t="n">
        <v>1634</v>
      </c>
      <c r="G146" t="n">
        <v>85</v>
      </c>
    </row>
    <row r="147">
      <c r="A147" t="inlineStr">
        <is>
          <t>2026-04-19</t>
        </is>
      </c>
      <c r="B147" t="inlineStr">
        <is>
          <t>Кухня-крем-Поиск</t>
        </is>
      </c>
      <c r="C147" t="inlineStr">
        <is>
          <t>ABC-KIT-051</t>
        </is>
      </c>
      <c r="D147" t="n">
        <v>5610</v>
      </c>
      <c r="E147" t="n">
        <v>85034</v>
      </c>
      <c r="F147" t="n">
        <v>3119</v>
      </c>
      <c r="G147" t="n">
        <v>63</v>
      </c>
    </row>
    <row r="148">
      <c r="A148" t="inlineStr">
        <is>
          <t>2026-04-19</t>
        </is>
      </c>
      <c r="B148" t="inlineStr">
        <is>
          <t>Пол-апрель-Карточка</t>
        </is>
      </c>
      <c r="C148" t="inlineStr">
        <is>
          <t>ABC-CLN-042</t>
        </is>
      </c>
      <c r="D148" t="n">
        <v>14957</v>
      </c>
      <c r="E148" t="n">
        <v>257685</v>
      </c>
      <c r="F148" t="n">
        <v>8282</v>
      </c>
      <c r="G148" t="n">
        <v>196</v>
      </c>
    </row>
    <row r="149">
      <c r="A149" t="inlineStr">
        <is>
          <t>2026-04-19</t>
        </is>
      </c>
      <c r="B149" t="inlineStr">
        <is>
          <t>Пол-апрель-Поиск</t>
        </is>
      </c>
      <c r="C149" t="inlineStr">
        <is>
          <t>ABC-CLN-042</t>
        </is>
      </c>
      <c r="D149" t="n">
        <v>14365</v>
      </c>
      <c r="E149" t="n">
        <v>209873</v>
      </c>
      <c r="F149" t="n">
        <v>5148</v>
      </c>
      <c r="G149" t="n">
        <v>120</v>
      </c>
    </row>
    <row r="150">
      <c r="A150" t="inlineStr">
        <is>
          <t>2026-04-19</t>
        </is>
      </c>
      <c r="B150" t="inlineStr">
        <is>
          <t>Посуда-апрель-Карточка</t>
        </is>
      </c>
      <c r="C150" t="inlineStr">
        <is>
          <t>ABC-DSH-018</t>
        </is>
      </c>
      <c r="D150" t="n">
        <v>5427</v>
      </c>
      <c r="E150" t="n">
        <v>60431</v>
      </c>
      <c r="F150" t="n">
        <v>1912</v>
      </c>
      <c r="G150" t="n">
        <v>141</v>
      </c>
    </row>
    <row r="151">
      <c r="A151" t="inlineStr">
        <is>
          <t>2026-04-19</t>
        </is>
      </c>
      <c r="B151" t="inlineStr">
        <is>
          <t>Посуда-апрель-Поиск</t>
        </is>
      </c>
      <c r="C151" t="inlineStr">
        <is>
          <t>ABC-DSH-018</t>
        </is>
      </c>
      <c r="D151" t="n">
        <v>3036</v>
      </c>
      <c r="E151" t="n">
        <v>30322</v>
      </c>
      <c r="F151" t="n">
        <v>1341</v>
      </c>
      <c r="G151" t="n">
        <v>57</v>
      </c>
    </row>
    <row r="152">
      <c r="A152" t="inlineStr">
        <is>
          <t>2026-04-19</t>
        </is>
      </c>
      <c r="B152" t="inlineStr">
        <is>
          <t>Стёкла-Карточка</t>
        </is>
      </c>
      <c r="C152" t="inlineStr">
        <is>
          <t>ABC-WND-009</t>
        </is>
      </c>
      <c r="D152" t="n">
        <v>1481</v>
      </c>
      <c r="E152" t="n">
        <v>16950</v>
      </c>
      <c r="F152" t="n">
        <v>635</v>
      </c>
      <c r="G152" t="n">
        <v>49</v>
      </c>
    </row>
    <row r="153">
      <c r="A153" t="inlineStr">
        <is>
          <t>2026-04-19</t>
        </is>
      </c>
      <c r="B153" t="inlineStr">
        <is>
          <t>Стёкла-Категория</t>
        </is>
      </c>
      <c r="C153" t="inlineStr">
        <is>
          <t>ABC-WND-009</t>
        </is>
      </c>
      <c r="D153" t="n">
        <v>1470</v>
      </c>
      <c r="E153" t="n">
        <v>18641</v>
      </c>
      <c r="F153" t="n">
        <v>394</v>
      </c>
      <c r="G153" t="n">
        <v>12</v>
      </c>
    </row>
    <row r="154">
      <c r="A154" t="inlineStr">
        <is>
          <t>2026-04-19</t>
        </is>
      </c>
      <c r="B154" t="inlineStr">
        <is>
          <t>Стёкла-Поиск</t>
        </is>
      </c>
      <c r="C154" t="inlineStr">
        <is>
          <t>ABC-WND-009</t>
        </is>
      </c>
      <c r="D154" t="n">
        <v>1422</v>
      </c>
      <c r="E154" t="n">
        <v>13552</v>
      </c>
      <c r="F154" t="n">
        <v>334</v>
      </c>
      <c r="G154" t="n">
        <v>9</v>
      </c>
    </row>
    <row r="155">
      <c r="A155" t="inlineStr">
        <is>
          <t>2026-04-20</t>
        </is>
      </c>
      <c r="B155" t="inlineStr">
        <is>
          <t>Кухня-крем-Поиск</t>
        </is>
      </c>
      <c r="C155" t="inlineStr">
        <is>
          <t>ABC-KIT-051</t>
        </is>
      </c>
      <c r="D155" t="n">
        <v>6781</v>
      </c>
      <c r="E155" t="n">
        <v>119426</v>
      </c>
      <c r="F155" t="n">
        <v>3021</v>
      </c>
      <c r="G155" t="n">
        <v>88</v>
      </c>
    </row>
    <row r="156">
      <c r="A156" t="inlineStr">
        <is>
          <t>2026-04-20</t>
        </is>
      </c>
      <c r="B156" t="inlineStr">
        <is>
          <t>Пол-апрель-Карточка</t>
        </is>
      </c>
      <c r="C156" t="inlineStr">
        <is>
          <t>ABC-CLN-042</t>
        </is>
      </c>
      <c r="D156" t="n">
        <v>14298</v>
      </c>
      <c r="E156" t="n">
        <v>235653</v>
      </c>
      <c r="F156" t="n">
        <v>4151</v>
      </c>
      <c r="G156" t="n">
        <v>246</v>
      </c>
    </row>
    <row r="157">
      <c r="A157" t="inlineStr">
        <is>
          <t>2026-04-20</t>
        </is>
      </c>
      <c r="B157" t="inlineStr">
        <is>
          <t>Пол-апрель-Поиск</t>
        </is>
      </c>
      <c r="C157" t="inlineStr">
        <is>
          <t>ABC-CLN-042</t>
        </is>
      </c>
      <c r="D157" t="n">
        <v>12959</v>
      </c>
      <c r="E157" t="n">
        <v>141725</v>
      </c>
      <c r="F157" t="n">
        <v>4293</v>
      </c>
      <c r="G157" t="n">
        <v>338</v>
      </c>
    </row>
    <row r="158">
      <c r="A158" t="inlineStr">
        <is>
          <t>2026-04-20</t>
        </is>
      </c>
      <c r="B158" t="inlineStr">
        <is>
          <t>Посуда-апрель-Карточка</t>
        </is>
      </c>
      <c r="C158" t="inlineStr">
        <is>
          <t>ABC-DSH-018</t>
        </is>
      </c>
      <c r="D158" t="n">
        <v>3309</v>
      </c>
      <c r="E158" t="n">
        <v>34030</v>
      </c>
      <c r="F158" t="n">
        <v>1589</v>
      </c>
      <c r="G158" t="n">
        <v>45</v>
      </c>
    </row>
    <row r="159">
      <c r="A159" t="inlineStr">
        <is>
          <t>2026-04-20</t>
        </is>
      </c>
      <c r="B159" t="inlineStr">
        <is>
          <t>Посуда-апрель-Поиск</t>
        </is>
      </c>
      <c r="C159" t="inlineStr">
        <is>
          <t>ABC-DSH-018</t>
        </is>
      </c>
      <c r="D159" t="n">
        <v>4979</v>
      </c>
      <c r="E159" t="n">
        <v>47053</v>
      </c>
      <c r="F159" t="n">
        <v>885</v>
      </c>
      <c r="G159" t="n">
        <v>52</v>
      </c>
    </row>
    <row r="160">
      <c r="A160" t="inlineStr">
        <is>
          <t>2026-04-20</t>
        </is>
      </c>
      <c r="B160" t="inlineStr">
        <is>
          <t>Стирка-детский-Категория</t>
        </is>
      </c>
      <c r="C160" t="inlineStr">
        <is>
          <t>ABC-LDR-034</t>
        </is>
      </c>
      <c r="D160" t="n">
        <v>7193</v>
      </c>
      <c r="E160" t="n">
        <v>106788</v>
      </c>
      <c r="F160" t="n">
        <v>2130</v>
      </c>
      <c r="G160" t="n">
        <v>116</v>
      </c>
    </row>
    <row r="161">
      <c r="A161" t="inlineStr">
        <is>
          <t>2026-04-20</t>
        </is>
      </c>
      <c r="B161" t="inlineStr">
        <is>
          <t>Стирка-детский-Поиск</t>
        </is>
      </c>
      <c r="C161" t="inlineStr">
        <is>
          <t>ABC-LDR-034</t>
        </is>
      </c>
      <c r="D161" t="n">
        <v>5306</v>
      </c>
      <c r="E161" t="n">
        <v>94635</v>
      </c>
      <c r="F161" t="n">
        <v>2794</v>
      </c>
      <c r="G161" t="n">
        <v>145</v>
      </c>
    </row>
    <row r="162">
      <c r="A162" t="inlineStr">
        <is>
          <t>2026-04-21</t>
        </is>
      </c>
      <c r="B162" t="inlineStr">
        <is>
          <t>Кондиционер-Поиск</t>
        </is>
      </c>
      <c r="C162" t="inlineStr">
        <is>
          <t>ABC-LDR-027</t>
        </is>
      </c>
      <c r="D162" t="n">
        <v>9376</v>
      </c>
      <c r="E162" t="n">
        <v>132591</v>
      </c>
      <c r="F162" t="n">
        <v>2895</v>
      </c>
      <c r="G162" t="n">
        <v>182</v>
      </c>
    </row>
    <row r="163">
      <c r="A163" t="inlineStr">
        <is>
          <t>2026-04-21</t>
        </is>
      </c>
      <c r="B163" t="inlineStr">
        <is>
          <t>Кухня-крем-Поиск</t>
        </is>
      </c>
      <c r="C163" t="inlineStr">
        <is>
          <t>ABC-KIT-051</t>
        </is>
      </c>
      <c r="D163" t="n">
        <v>3919</v>
      </c>
      <c r="E163" t="n">
        <v>38503</v>
      </c>
      <c r="F163" t="n">
        <v>778</v>
      </c>
      <c r="G163" t="n">
        <v>48</v>
      </c>
    </row>
    <row r="164">
      <c r="A164" t="inlineStr">
        <is>
          <t>2026-04-21</t>
        </is>
      </c>
      <c r="B164" t="inlineStr">
        <is>
          <t>Пол-апрель-Карточка</t>
        </is>
      </c>
      <c r="C164" t="inlineStr">
        <is>
          <t>ABC-CLN-042</t>
        </is>
      </c>
      <c r="D164" t="n">
        <v>7876</v>
      </c>
      <c r="E164" t="n">
        <v>63119</v>
      </c>
      <c r="F164" t="n">
        <v>2399</v>
      </c>
      <c r="G164" t="n">
        <v>154</v>
      </c>
    </row>
    <row r="165">
      <c r="A165" t="inlineStr">
        <is>
          <t>2026-04-21</t>
        </is>
      </c>
      <c r="B165" t="inlineStr">
        <is>
          <t>Пол-апрель-Поиск</t>
        </is>
      </c>
      <c r="C165" t="inlineStr">
        <is>
          <t>ABC-CLN-042</t>
        </is>
      </c>
      <c r="D165" t="n">
        <v>11616</v>
      </c>
      <c r="E165" t="n">
        <v>176173</v>
      </c>
      <c r="F165" t="n">
        <v>2741</v>
      </c>
      <c r="G165" t="n">
        <v>205</v>
      </c>
    </row>
    <row r="166">
      <c r="A166" t="inlineStr">
        <is>
          <t>2026-04-21</t>
        </is>
      </c>
      <c r="B166" t="inlineStr">
        <is>
          <t>Посуда-апрель-Карточка</t>
        </is>
      </c>
      <c r="C166" t="inlineStr">
        <is>
          <t>ABC-DSH-018</t>
        </is>
      </c>
      <c r="D166" t="n">
        <v>4770</v>
      </c>
      <c r="E166" t="n">
        <v>42655</v>
      </c>
      <c r="F166" t="n">
        <v>685</v>
      </c>
      <c r="G166" t="n">
        <v>51</v>
      </c>
    </row>
    <row r="167">
      <c r="A167" t="inlineStr">
        <is>
          <t>2026-04-21</t>
        </is>
      </c>
      <c r="B167" t="inlineStr">
        <is>
          <t>Посуда-апрель-Поиск</t>
        </is>
      </c>
      <c r="C167" t="inlineStr">
        <is>
          <t>ABC-DSH-018</t>
        </is>
      </c>
      <c r="D167" t="n">
        <v>2629</v>
      </c>
      <c r="E167" t="n">
        <v>41896</v>
      </c>
      <c r="F167" t="n">
        <v>1502</v>
      </c>
      <c r="G167" t="n">
        <v>73</v>
      </c>
    </row>
    <row r="168">
      <c r="A168" t="inlineStr">
        <is>
          <t>2026-04-21</t>
        </is>
      </c>
      <c r="B168" t="inlineStr">
        <is>
          <t>Стирка-детский-Категория</t>
        </is>
      </c>
      <c r="C168" t="inlineStr">
        <is>
          <t>ABC-LDR-034</t>
        </is>
      </c>
      <c r="D168" t="n">
        <v>4999</v>
      </c>
      <c r="E168" t="n">
        <v>89952</v>
      </c>
      <c r="F168" t="n">
        <v>1713</v>
      </c>
      <c r="G168" t="n">
        <v>66</v>
      </c>
    </row>
    <row r="169">
      <c r="A169" t="inlineStr">
        <is>
          <t>2026-04-21</t>
        </is>
      </c>
      <c r="B169" t="inlineStr">
        <is>
          <t>Стирка-детский-Поиск</t>
        </is>
      </c>
      <c r="C169" t="inlineStr">
        <is>
          <t>ABC-LDR-034</t>
        </is>
      </c>
      <c r="D169" t="n">
        <v>6393</v>
      </c>
      <c r="E169" t="n">
        <v>82591</v>
      </c>
      <c r="F169" t="n">
        <v>4103</v>
      </c>
      <c r="G169" t="n">
        <v>171</v>
      </c>
    </row>
    <row r="170">
      <c r="A170" t="inlineStr">
        <is>
          <t>2026-04-21</t>
        </is>
      </c>
      <c r="B170" t="inlineStr">
        <is>
          <t>Стёкла-Карточка</t>
        </is>
      </c>
      <c r="C170" t="inlineStr">
        <is>
          <t>ABC-WND-009</t>
        </is>
      </c>
      <c r="D170" t="n">
        <v>1595</v>
      </c>
      <c r="E170" t="n">
        <v>21177</v>
      </c>
      <c r="F170" t="n">
        <v>804</v>
      </c>
      <c r="G170" t="n">
        <v>19</v>
      </c>
    </row>
    <row r="171">
      <c r="A171" t="inlineStr">
        <is>
          <t>2026-04-21</t>
        </is>
      </c>
      <c r="B171" t="inlineStr">
        <is>
          <t>Стёкла-Категория</t>
        </is>
      </c>
      <c r="C171" t="inlineStr">
        <is>
          <t>ABC-WND-009</t>
        </is>
      </c>
      <c r="D171" t="n">
        <v>1029</v>
      </c>
      <c r="E171" t="n">
        <v>12722</v>
      </c>
      <c r="F171" t="n">
        <v>342</v>
      </c>
      <c r="G171" t="n">
        <v>8</v>
      </c>
    </row>
    <row r="172">
      <c r="A172" t="inlineStr">
        <is>
          <t>2026-04-21</t>
        </is>
      </c>
      <c r="B172" t="inlineStr">
        <is>
          <t>Стёкла-Поиск</t>
        </is>
      </c>
      <c r="C172" t="inlineStr">
        <is>
          <t>ABC-WND-009</t>
        </is>
      </c>
      <c r="D172" t="n">
        <v>2332</v>
      </c>
      <c r="E172" t="n">
        <v>32025</v>
      </c>
      <c r="F172" t="n">
        <v>575</v>
      </c>
      <c r="G172" t="n">
        <v>39</v>
      </c>
    </row>
    <row r="173">
      <c r="A173" t="inlineStr">
        <is>
          <t>2026-04-22</t>
        </is>
      </c>
      <c r="B173" t="inlineStr">
        <is>
          <t>Кондиционер-Поиск</t>
        </is>
      </c>
      <c r="C173" t="inlineStr">
        <is>
          <t>ABC-LDR-027</t>
        </is>
      </c>
      <c r="D173" t="n">
        <v>8399</v>
      </c>
      <c r="E173" t="n">
        <v>140110</v>
      </c>
      <c r="F173" t="n">
        <v>3140</v>
      </c>
      <c r="G173" t="n">
        <v>241</v>
      </c>
    </row>
    <row r="174">
      <c r="A174" t="inlineStr">
        <is>
          <t>2026-04-22</t>
        </is>
      </c>
      <c r="B174" t="inlineStr">
        <is>
          <t>Кухня-крем-Поиск</t>
        </is>
      </c>
      <c r="C174" t="inlineStr">
        <is>
          <t>ABC-KIT-051</t>
        </is>
      </c>
      <c r="D174" t="n">
        <v>6688</v>
      </c>
      <c r="E174" t="n">
        <v>63753</v>
      </c>
      <c r="F174" t="n">
        <v>1166</v>
      </c>
      <c r="G174" t="n">
        <v>47</v>
      </c>
    </row>
    <row r="175">
      <c r="A175" t="inlineStr">
        <is>
          <t>2026-04-22</t>
        </is>
      </c>
      <c r="B175" t="inlineStr">
        <is>
          <t>Пол-апрель-Карточка</t>
        </is>
      </c>
      <c r="C175" t="inlineStr">
        <is>
          <t>ABC-CLN-042</t>
        </is>
      </c>
      <c r="D175" t="n">
        <v>11620</v>
      </c>
      <c r="E175" t="n">
        <v>178906</v>
      </c>
      <c r="F175" t="n">
        <v>2774</v>
      </c>
      <c r="G175" t="n">
        <v>164</v>
      </c>
    </row>
    <row r="176">
      <c r="A176" t="inlineStr">
        <is>
          <t>2026-04-22</t>
        </is>
      </c>
      <c r="B176" t="inlineStr">
        <is>
          <t>Пол-апрель-Поиск</t>
        </is>
      </c>
      <c r="C176" t="inlineStr">
        <is>
          <t>ABC-CLN-042</t>
        </is>
      </c>
      <c r="D176" t="n">
        <v>12582</v>
      </c>
      <c r="E176" t="n">
        <v>111743</v>
      </c>
      <c r="F176" t="n">
        <v>2576</v>
      </c>
      <c r="G176" t="n">
        <v>136</v>
      </c>
    </row>
    <row r="177">
      <c r="A177" t="inlineStr">
        <is>
          <t>2026-04-22</t>
        </is>
      </c>
      <c r="B177" t="inlineStr">
        <is>
          <t>Посуда-апрель-Карточка</t>
        </is>
      </c>
      <c r="C177" t="inlineStr">
        <is>
          <t>ABC-DSH-018</t>
        </is>
      </c>
      <c r="D177" t="n">
        <v>2816</v>
      </c>
      <c r="E177" t="n">
        <v>22659</v>
      </c>
      <c r="F177" t="n">
        <v>1102</v>
      </c>
      <c r="G177" t="n">
        <v>63</v>
      </c>
    </row>
    <row r="178">
      <c r="A178" t="inlineStr">
        <is>
          <t>2026-04-22</t>
        </is>
      </c>
      <c r="B178" t="inlineStr">
        <is>
          <t>Посуда-апрель-Поиск</t>
        </is>
      </c>
      <c r="C178" t="inlineStr">
        <is>
          <t>ABC-DSH-018</t>
        </is>
      </c>
      <c r="D178" t="n">
        <v>2739</v>
      </c>
      <c r="E178" t="n">
        <v>34647</v>
      </c>
      <c r="F178" t="n">
        <v>909</v>
      </c>
      <c r="G178" t="n">
        <v>56</v>
      </c>
    </row>
    <row r="179">
      <c r="A179" t="inlineStr">
        <is>
          <t>2026-04-22</t>
        </is>
      </c>
      <c r="B179" t="inlineStr">
        <is>
          <t>Стирка-детский-Категория</t>
        </is>
      </c>
      <c r="C179" t="inlineStr">
        <is>
          <t>ABC-LDR-034</t>
        </is>
      </c>
      <c r="D179" t="n">
        <v>3727</v>
      </c>
      <c r="E179" t="n">
        <v>45324</v>
      </c>
      <c r="F179" t="n">
        <v>1432</v>
      </c>
      <c r="G179" t="n">
        <v>39</v>
      </c>
    </row>
    <row r="180">
      <c r="A180" t="inlineStr">
        <is>
          <t>2026-04-22</t>
        </is>
      </c>
      <c r="B180" t="inlineStr">
        <is>
          <t>Стирка-детский-Поиск</t>
        </is>
      </c>
      <c r="C180" t="inlineStr">
        <is>
          <t>ABC-LDR-034</t>
        </is>
      </c>
      <c r="D180" t="n">
        <v>5344</v>
      </c>
      <c r="E180" t="n">
        <v>74247</v>
      </c>
      <c r="F180" t="n">
        <v>2037</v>
      </c>
      <c r="G180" t="n">
        <v>137</v>
      </c>
    </row>
    <row r="181">
      <c r="A181" t="inlineStr">
        <is>
          <t>2026-04-22</t>
        </is>
      </c>
      <c r="B181" t="inlineStr">
        <is>
          <t>Стёкла-Карточка</t>
        </is>
      </c>
      <c r="C181" t="inlineStr">
        <is>
          <t>ABC-WND-009</t>
        </is>
      </c>
      <c r="D181" t="n">
        <v>1208</v>
      </c>
      <c r="E181" t="n">
        <v>19709</v>
      </c>
      <c r="F181" t="n">
        <v>656</v>
      </c>
      <c r="G181" t="n">
        <v>38</v>
      </c>
    </row>
    <row r="182">
      <c r="A182" t="inlineStr">
        <is>
          <t>2026-04-22</t>
        </is>
      </c>
      <c r="B182" t="inlineStr">
        <is>
          <t>Стёкла-Категория</t>
        </is>
      </c>
      <c r="C182" t="inlineStr">
        <is>
          <t>ABC-WND-009</t>
        </is>
      </c>
      <c r="D182" t="n">
        <v>1821</v>
      </c>
      <c r="E182" t="n">
        <v>19247</v>
      </c>
      <c r="F182" t="n">
        <v>780</v>
      </c>
      <c r="G182" t="n">
        <v>43</v>
      </c>
    </row>
    <row r="183">
      <c r="A183" t="inlineStr">
        <is>
          <t>2026-04-22</t>
        </is>
      </c>
      <c r="B183" t="inlineStr">
        <is>
          <t>Стёкла-Поиск</t>
        </is>
      </c>
      <c r="C183" t="inlineStr">
        <is>
          <t>ABC-WND-009</t>
        </is>
      </c>
      <c r="D183" t="n">
        <v>1335</v>
      </c>
      <c r="E183" t="n">
        <v>13814</v>
      </c>
      <c r="F183" t="n">
        <v>553</v>
      </c>
      <c r="G183" t="n">
        <v>39</v>
      </c>
    </row>
    <row r="184">
      <c r="A184" t="inlineStr">
        <is>
          <t>2026-04-23</t>
        </is>
      </c>
      <c r="B184" t="inlineStr">
        <is>
          <t>Посуда-апрель-Карточка</t>
        </is>
      </c>
      <c r="C184" t="inlineStr">
        <is>
          <t>ABC-DSH-018</t>
        </is>
      </c>
      <c r="D184" t="n">
        <v>4924</v>
      </c>
      <c r="E184" t="n">
        <v>50065</v>
      </c>
      <c r="F184" t="n">
        <v>1290</v>
      </c>
      <c r="G184" t="n">
        <v>73</v>
      </c>
    </row>
    <row r="185">
      <c r="A185" t="inlineStr">
        <is>
          <t>2026-04-23</t>
        </is>
      </c>
      <c r="B185" t="inlineStr">
        <is>
          <t>Посуда-апрель-Поиск</t>
        </is>
      </c>
      <c r="C185" t="inlineStr">
        <is>
          <t>ABC-DSH-018</t>
        </is>
      </c>
      <c r="D185" t="n">
        <v>3658</v>
      </c>
      <c r="E185" t="n">
        <v>30739</v>
      </c>
      <c r="F185" t="n">
        <v>1193</v>
      </c>
      <c r="G185" t="n">
        <v>62</v>
      </c>
    </row>
    <row r="186">
      <c r="A186" t="inlineStr">
        <is>
          <t>2026-04-23</t>
        </is>
      </c>
      <c r="B186" t="inlineStr">
        <is>
          <t>Стирка-детский-Категория</t>
        </is>
      </c>
      <c r="C186" t="inlineStr">
        <is>
          <t>ABC-LDR-034</t>
        </is>
      </c>
      <c r="D186" t="n">
        <v>5741</v>
      </c>
      <c r="E186" t="n">
        <v>70113</v>
      </c>
      <c r="F186" t="n">
        <v>3068</v>
      </c>
      <c r="G186" t="n">
        <v>103</v>
      </c>
    </row>
    <row r="187">
      <c r="A187" t="inlineStr">
        <is>
          <t>2026-04-23</t>
        </is>
      </c>
      <c r="B187" t="inlineStr">
        <is>
          <t>Стирка-детский-Поиск</t>
        </is>
      </c>
      <c r="C187" t="inlineStr">
        <is>
          <t>ABC-LDR-034</t>
        </is>
      </c>
      <c r="D187" t="n">
        <v>7139</v>
      </c>
      <c r="E187" t="n">
        <v>73687</v>
      </c>
      <c r="F187" t="n">
        <v>2848</v>
      </c>
      <c r="G187" t="n">
        <v>131</v>
      </c>
    </row>
    <row r="188">
      <c r="A188" t="inlineStr">
        <is>
          <t>2026-04-24</t>
        </is>
      </c>
      <c r="B188" t="inlineStr">
        <is>
          <t>Кухня-крем-Поиск</t>
        </is>
      </c>
      <c r="C188" t="inlineStr">
        <is>
          <t>ABC-KIT-051</t>
        </is>
      </c>
      <c r="D188" t="n">
        <v>5487</v>
      </c>
      <c r="E188" t="n">
        <v>94273</v>
      </c>
      <c r="F188" t="n">
        <v>3922</v>
      </c>
      <c r="G188" t="n">
        <v>248</v>
      </c>
    </row>
    <row r="189">
      <c r="A189" t="inlineStr">
        <is>
          <t>2026-04-24</t>
        </is>
      </c>
      <c r="B189" t="inlineStr">
        <is>
          <t>Посуда-апрель-Карточка</t>
        </is>
      </c>
      <c r="C189" t="inlineStr">
        <is>
          <t>ABC-DSH-018</t>
        </is>
      </c>
      <c r="D189" t="n">
        <v>5974</v>
      </c>
      <c r="E189" t="n">
        <v>99472</v>
      </c>
      <c r="F189" t="n">
        <v>4585</v>
      </c>
      <c r="G189" t="n">
        <v>363</v>
      </c>
    </row>
    <row r="190">
      <c r="A190" t="inlineStr">
        <is>
          <t>2026-04-24</t>
        </is>
      </c>
      <c r="B190" t="inlineStr">
        <is>
          <t>Посуда-апрель-Поиск</t>
        </is>
      </c>
      <c r="C190" t="inlineStr">
        <is>
          <t>ABC-DSH-018</t>
        </is>
      </c>
      <c r="D190" t="n">
        <v>4001</v>
      </c>
      <c r="E190" t="n">
        <v>50915</v>
      </c>
      <c r="F190" t="n">
        <v>1939</v>
      </c>
      <c r="G190" t="n">
        <v>143</v>
      </c>
    </row>
    <row r="191">
      <c r="A191" t="inlineStr">
        <is>
          <t>2026-04-24</t>
        </is>
      </c>
      <c r="B191" t="inlineStr">
        <is>
          <t>Стирка-детский-Категория</t>
        </is>
      </c>
      <c r="C191" t="inlineStr">
        <is>
          <t>ABC-LDR-034</t>
        </is>
      </c>
      <c r="D191" t="n">
        <v>4229</v>
      </c>
      <c r="E191" t="n">
        <v>58401</v>
      </c>
      <c r="F191" t="n">
        <v>1320</v>
      </c>
      <c r="G191" t="n">
        <v>104</v>
      </c>
    </row>
    <row r="192">
      <c r="A192" t="inlineStr">
        <is>
          <t>2026-04-24</t>
        </is>
      </c>
      <c r="B192" t="inlineStr">
        <is>
          <t>Стирка-детский-Поиск</t>
        </is>
      </c>
      <c r="C192" t="inlineStr">
        <is>
          <t>ABC-LDR-034</t>
        </is>
      </c>
      <c r="D192" t="n">
        <v>5537</v>
      </c>
      <c r="E192" t="n">
        <v>85874</v>
      </c>
      <c r="F192" t="n">
        <v>3836</v>
      </c>
      <c r="G192" t="n">
        <v>277</v>
      </c>
    </row>
    <row r="193">
      <c r="A193" t="inlineStr">
        <is>
          <t>2026-04-24</t>
        </is>
      </c>
      <c r="B193" t="inlineStr">
        <is>
          <t>Стёкла-Карточка</t>
        </is>
      </c>
      <c r="C193" t="inlineStr">
        <is>
          <t>ABC-WND-009</t>
        </is>
      </c>
      <c r="D193" t="n">
        <v>1698</v>
      </c>
      <c r="E193" t="n">
        <v>18217</v>
      </c>
      <c r="F193" t="n">
        <v>287</v>
      </c>
      <c r="G193" t="n">
        <v>9</v>
      </c>
    </row>
    <row r="194">
      <c r="A194" t="inlineStr">
        <is>
          <t>2026-04-24</t>
        </is>
      </c>
      <c r="B194" t="inlineStr">
        <is>
          <t>Стёкла-Категория</t>
        </is>
      </c>
      <c r="C194" t="inlineStr">
        <is>
          <t>ABC-WND-009</t>
        </is>
      </c>
      <c r="D194" t="n">
        <v>1444</v>
      </c>
      <c r="E194" t="n">
        <v>25469</v>
      </c>
      <c r="F194" t="n">
        <v>747</v>
      </c>
      <c r="G194" t="n">
        <v>56</v>
      </c>
    </row>
    <row r="195">
      <c r="A195" t="inlineStr">
        <is>
          <t>2026-04-24</t>
        </is>
      </c>
      <c r="B195" t="inlineStr">
        <is>
          <t>Стёкла-Поиск</t>
        </is>
      </c>
      <c r="C195" t="inlineStr">
        <is>
          <t>ABC-WND-009</t>
        </is>
      </c>
      <c r="D195" t="n">
        <v>2150</v>
      </c>
      <c r="E195" t="n">
        <v>21945</v>
      </c>
      <c r="F195" t="n">
        <v>574</v>
      </c>
      <c r="G195" t="n">
        <v>37</v>
      </c>
    </row>
    <row r="196">
      <c r="A196" t="inlineStr">
        <is>
          <t>2026-04-25</t>
        </is>
      </c>
      <c r="B196" t="inlineStr">
        <is>
          <t>Кухня-крем-Поиск</t>
        </is>
      </c>
      <c r="C196" t="inlineStr">
        <is>
          <t>ABC-KIT-051</t>
        </is>
      </c>
      <c r="D196" t="n">
        <v>5169</v>
      </c>
      <c r="E196" t="n">
        <v>72362</v>
      </c>
      <c r="F196" t="n">
        <v>3371</v>
      </c>
      <c r="G196" t="n">
        <v>120</v>
      </c>
    </row>
    <row r="197">
      <c r="A197" t="inlineStr">
        <is>
          <t>2026-04-25</t>
        </is>
      </c>
      <c r="B197" t="inlineStr">
        <is>
          <t>Пол-апрель-Карточка</t>
        </is>
      </c>
      <c r="C197" t="inlineStr">
        <is>
          <t>ABC-CLN-042</t>
        </is>
      </c>
      <c r="D197" t="n">
        <v>8617</v>
      </c>
      <c r="E197" t="n">
        <v>122902</v>
      </c>
      <c r="F197" t="n">
        <v>3072</v>
      </c>
      <c r="G197" t="n">
        <v>83</v>
      </c>
    </row>
    <row r="198">
      <c r="A198" t="inlineStr">
        <is>
          <t>2026-04-25</t>
        </is>
      </c>
      <c r="B198" t="inlineStr">
        <is>
          <t>Пол-апрель-Поиск</t>
        </is>
      </c>
      <c r="C198" t="inlineStr">
        <is>
          <t>ABC-CLN-042</t>
        </is>
      </c>
      <c r="D198" t="n">
        <v>8264</v>
      </c>
      <c r="E198" t="n">
        <v>94326</v>
      </c>
      <c r="F198" t="n">
        <v>1928</v>
      </c>
      <c r="G198" t="n">
        <v>96</v>
      </c>
    </row>
    <row r="199">
      <c r="A199" t="inlineStr">
        <is>
          <t>2026-04-25</t>
        </is>
      </c>
      <c r="B199" t="inlineStr">
        <is>
          <t>Посуда-апрель-Карточка</t>
        </is>
      </c>
      <c r="C199" t="inlineStr">
        <is>
          <t>ABC-DSH-018</t>
        </is>
      </c>
      <c r="D199" t="n">
        <v>3929</v>
      </c>
      <c r="E199" t="n">
        <v>47636</v>
      </c>
      <c r="F199" t="n">
        <v>2180</v>
      </c>
      <c r="G199" t="n">
        <v>155</v>
      </c>
    </row>
    <row r="200">
      <c r="A200" t="inlineStr">
        <is>
          <t>2026-04-25</t>
        </is>
      </c>
      <c r="B200" t="inlineStr">
        <is>
          <t>Посуда-апрель-Поиск</t>
        </is>
      </c>
      <c r="C200" t="inlineStr">
        <is>
          <t>ABC-DSH-018</t>
        </is>
      </c>
      <c r="D200" t="n">
        <v>2643</v>
      </c>
      <c r="E200" t="n">
        <v>31514</v>
      </c>
      <c r="F200" t="n">
        <v>558</v>
      </c>
      <c r="G200" t="n">
        <v>27</v>
      </c>
    </row>
    <row r="201">
      <c r="A201" t="inlineStr">
        <is>
          <t>2026-04-25</t>
        </is>
      </c>
      <c r="B201" t="inlineStr">
        <is>
          <t>Стирка-детский-Категория</t>
        </is>
      </c>
      <c r="C201" t="inlineStr">
        <is>
          <t>ABC-LDR-034</t>
        </is>
      </c>
      <c r="D201" t="n">
        <v>5700</v>
      </c>
      <c r="E201" t="n">
        <v>74410</v>
      </c>
      <c r="F201" t="n">
        <v>2917</v>
      </c>
      <c r="G201" t="n">
        <v>128</v>
      </c>
    </row>
    <row r="202">
      <c r="A202" t="inlineStr">
        <is>
          <t>2026-04-25</t>
        </is>
      </c>
      <c r="B202" t="inlineStr">
        <is>
          <t>Стирка-детский-Поиск</t>
        </is>
      </c>
      <c r="C202" t="inlineStr">
        <is>
          <t>ABC-LDR-034</t>
        </is>
      </c>
      <c r="D202" t="n">
        <v>7388</v>
      </c>
      <c r="E202" t="n">
        <v>116136</v>
      </c>
      <c r="F202" t="n">
        <v>2395</v>
      </c>
      <c r="G202" t="n">
        <v>186</v>
      </c>
    </row>
    <row r="203">
      <c r="A203" t="inlineStr">
        <is>
          <t>2026-04-25</t>
        </is>
      </c>
      <c r="B203" t="inlineStr">
        <is>
          <t>Стёкла-Карточка</t>
        </is>
      </c>
      <c r="C203" t="inlineStr">
        <is>
          <t>ABC-WND-009</t>
        </is>
      </c>
      <c r="D203" t="n">
        <v>2333</v>
      </c>
      <c r="E203" t="n">
        <v>18835</v>
      </c>
      <c r="F203" t="n">
        <v>312</v>
      </c>
      <c r="G203" t="n">
        <v>21</v>
      </c>
    </row>
    <row r="204">
      <c r="A204" t="inlineStr">
        <is>
          <t>2026-04-25</t>
        </is>
      </c>
      <c r="B204" t="inlineStr">
        <is>
          <t>Стёкла-Категория</t>
        </is>
      </c>
      <c r="C204" t="inlineStr">
        <is>
          <t>ABC-WND-009</t>
        </is>
      </c>
      <c r="D204" t="n">
        <v>1285</v>
      </c>
      <c r="E204" t="n">
        <v>19724</v>
      </c>
      <c r="F204" t="n">
        <v>409</v>
      </c>
      <c r="G204" t="n">
        <v>29</v>
      </c>
    </row>
    <row r="205">
      <c r="A205" t="inlineStr">
        <is>
          <t>2026-04-25</t>
        </is>
      </c>
      <c r="B205" t="inlineStr">
        <is>
          <t>Стёкла-Поиск</t>
        </is>
      </c>
      <c r="C205" t="inlineStr">
        <is>
          <t>ABC-WND-009</t>
        </is>
      </c>
      <c r="D205" t="n">
        <v>2222</v>
      </c>
      <c r="E205" t="n">
        <v>25353</v>
      </c>
      <c r="F205" t="n">
        <v>1224</v>
      </c>
      <c r="G205" t="n">
        <v>90</v>
      </c>
    </row>
    <row r="206">
      <c r="A206" t="inlineStr">
        <is>
          <t>2026-04-26</t>
        </is>
      </c>
      <c r="B206" t="inlineStr">
        <is>
          <t>Кондиционер-Поиск</t>
        </is>
      </c>
      <c r="C206" t="inlineStr">
        <is>
          <t>ABC-LDR-027</t>
        </is>
      </c>
      <c r="D206" t="n">
        <v>8716</v>
      </c>
      <c r="E206" t="n">
        <v>80647</v>
      </c>
      <c r="F206" t="n">
        <v>1458</v>
      </c>
      <c r="G206" t="n">
        <v>29</v>
      </c>
    </row>
    <row r="207">
      <c r="A207" t="inlineStr">
        <is>
          <t>2026-04-26</t>
        </is>
      </c>
      <c r="B207" t="inlineStr">
        <is>
          <t>Кухня-крем-Поиск</t>
        </is>
      </c>
      <c r="C207" t="inlineStr">
        <is>
          <t>ABC-KIT-051</t>
        </is>
      </c>
      <c r="D207" t="n">
        <v>7275</v>
      </c>
      <c r="E207" t="n">
        <v>101882</v>
      </c>
      <c r="F207" t="n">
        <v>3877</v>
      </c>
      <c r="G207" t="n">
        <v>183</v>
      </c>
    </row>
    <row r="208">
      <c r="A208" t="inlineStr">
        <is>
          <t>2026-04-26</t>
        </is>
      </c>
      <c r="B208" t="inlineStr">
        <is>
          <t>Стирка-детский-Категория</t>
        </is>
      </c>
      <c r="C208" t="inlineStr">
        <is>
          <t>ABC-LDR-034</t>
        </is>
      </c>
      <c r="D208" t="n">
        <v>7202</v>
      </c>
      <c r="E208" t="n">
        <v>80793</v>
      </c>
      <c r="F208" t="n">
        <v>3507</v>
      </c>
      <c r="G208" t="n">
        <v>91</v>
      </c>
    </row>
    <row r="209">
      <c r="A209" t="inlineStr">
        <is>
          <t>2026-04-26</t>
        </is>
      </c>
      <c r="B209" t="inlineStr">
        <is>
          <t>Стирка-детский-Поиск</t>
        </is>
      </c>
      <c r="C209" t="inlineStr">
        <is>
          <t>ABC-LDR-034</t>
        </is>
      </c>
      <c r="D209" t="n">
        <v>4035</v>
      </c>
      <c r="E209" t="n">
        <v>49674</v>
      </c>
      <c r="F209" t="n">
        <v>1096</v>
      </c>
      <c r="G209" t="n">
        <v>67</v>
      </c>
    </row>
    <row r="210">
      <c r="A210" t="inlineStr">
        <is>
          <t>2026-04-26</t>
        </is>
      </c>
      <c r="B210" t="inlineStr">
        <is>
          <t>Стёкла-Карточка</t>
        </is>
      </c>
      <c r="C210" t="inlineStr">
        <is>
          <t>ABC-WND-009</t>
        </is>
      </c>
      <c r="D210" t="n">
        <v>1817</v>
      </c>
      <c r="E210" t="n">
        <v>23139</v>
      </c>
      <c r="F210" t="n">
        <v>789</v>
      </c>
      <c r="G210" t="n">
        <v>34</v>
      </c>
    </row>
    <row r="211">
      <c r="A211" t="inlineStr">
        <is>
          <t>2026-04-26</t>
        </is>
      </c>
      <c r="B211" t="inlineStr">
        <is>
          <t>Стёкла-Категория</t>
        </is>
      </c>
      <c r="C211" t="inlineStr">
        <is>
          <t>ABC-WND-009</t>
        </is>
      </c>
      <c r="D211" t="n">
        <v>2328</v>
      </c>
      <c r="E211" t="n">
        <v>22672</v>
      </c>
      <c r="F211" t="n">
        <v>821</v>
      </c>
      <c r="G211" t="n">
        <v>60</v>
      </c>
    </row>
    <row r="212">
      <c r="A212" t="inlineStr">
        <is>
          <t>2026-04-26</t>
        </is>
      </c>
      <c r="B212" t="inlineStr">
        <is>
          <t>Стёкла-Поиск</t>
        </is>
      </c>
      <c r="C212" t="inlineStr">
        <is>
          <t>ABC-WND-009</t>
        </is>
      </c>
      <c r="D212" t="n">
        <v>1830</v>
      </c>
      <c r="E212" t="n">
        <v>32149</v>
      </c>
      <c r="F212" t="n">
        <v>763</v>
      </c>
      <c r="G212" t="n">
        <v>58</v>
      </c>
    </row>
    <row r="213">
      <c r="A213" t="inlineStr">
        <is>
          <t>2026-04-27</t>
        </is>
      </c>
      <c r="B213" t="inlineStr">
        <is>
          <t>Кондиционер-Поиск</t>
        </is>
      </c>
      <c r="C213" t="inlineStr">
        <is>
          <t>ABC-LDR-027</t>
        </is>
      </c>
      <c r="D213" t="n">
        <v>8292</v>
      </c>
      <c r="E213" t="n">
        <v>90841</v>
      </c>
      <c r="F213" t="n">
        <v>2714</v>
      </c>
      <c r="G213" t="n">
        <v>176</v>
      </c>
    </row>
    <row r="214">
      <c r="A214" t="inlineStr">
        <is>
          <t>2026-04-27</t>
        </is>
      </c>
      <c r="B214" t="inlineStr">
        <is>
          <t>Кухня-крем-Поиск</t>
        </is>
      </c>
      <c r="C214" t="inlineStr">
        <is>
          <t>ABC-KIT-051</t>
        </is>
      </c>
      <c r="D214" t="n">
        <v>7483</v>
      </c>
      <c r="E214" t="n">
        <v>131333</v>
      </c>
      <c r="F214" t="n">
        <v>3094</v>
      </c>
      <c r="G214" t="n">
        <v>70</v>
      </c>
    </row>
    <row r="215">
      <c r="A215" t="inlineStr">
        <is>
          <t>2026-04-27</t>
        </is>
      </c>
      <c r="B215" t="inlineStr">
        <is>
          <t>Пол-апрель-Карточка</t>
        </is>
      </c>
      <c r="C215" t="inlineStr">
        <is>
          <t>ABC-CLN-042</t>
        </is>
      </c>
      <c r="D215" t="n">
        <v>11498</v>
      </c>
      <c r="E215" t="n">
        <v>191376</v>
      </c>
      <c r="F215" t="n">
        <v>7171</v>
      </c>
      <c r="G215" t="n">
        <v>566</v>
      </c>
    </row>
    <row r="216">
      <c r="A216" t="inlineStr">
        <is>
          <t>2026-04-27</t>
        </is>
      </c>
      <c r="B216" t="inlineStr">
        <is>
          <t>Пол-апрель-Поиск</t>
        </is>
      </c>
      <c r="C216" t="inlineStr">
        <is>
          <t>ABC-CLN-042</t>
        </is>
      </c>
      <c r="D216" t="n">
        <v>9250</v>
      </c>
      <c r="E216" t="n">
        <v>101483</v>
      </c>
      <c r="F216" t="n">
        <v>2571</v>
      </c>
      <c r="G216" t="n">
        <v>205</v>
      </c>
    </row>
    <row r="217">
      <c r="A217" t="inlineStr">
        <is>
          <t>2026-04-27</t>
        </is>
      </c>
      <c r="B217" t="inlineStr">
        <is>
          <t>Посуда-апрель-Карточка</t>
        </is>
      </c>
      <c r="C217" t="inlineStr">
        <is>
          <t>ABC-DSH-018</t>
        </is>
      </c>
      <c r="D217" t="n">
        <v>4158</v>
      </c>
      <c r="E217" t="n">
        <v>66534</v>
      </c>
      <c r="F217" t="n">
        <v>2302</v>
      </c>
      <c r="G217" t="n">
        <v>93</v>
      </c>
    </row>
    <row r="218">
      <c r="A218" t="inlineStr">
        <is>
          <t>2026-04-27</t>
        </is>
      </c>
      <c r="B218" t="inlineStr">
        <is>
          <t>Посуда-апрель-Поиск</t>
        </is>
      </c>
      <c r="C218" t="inlineStr">
        <is>
          <t>ABC-DSH-018</t>
        </is>
      </c>
      <c r="D218" t="n">
        <v>3909</v>
      </c>
      <c r="E218" t="n">
        <v>47572</v>
      </c>
      <c r="F218" t="n">
        <v>1423</v>
      </c>
      <c r="G218" t="n">
        <v>81</v>
      </c>
    </row>
    <row r="219">
      <c r="A219" t="inlineStr">
        <is>
          <t>2026-04-27</t>
        </is>
      </c>
      <c r="B219" t="inlineStr">
        <is>
          <t>Стирка-детский-Категория</t>
        </is>
      </c>
      <c r="C219" t="inlineStr">
        <is>
          <t>ABC-LDR-034</t>
        </is>
      </c>
      <c r="D219" t="n">
        <v>6577</v>
      </c>
      <c r="E219" t="n">
        <v>104491</v>
      </c>
      <c r="F219" t="n">
        <v>5196</v>
      </c>
      <c r="G219" t="n">
        <v>259</v>
      </c>
    </row>
    <row r="220">
      <c r="A220" t="inlineStr">
        <is>
          <t>2026-04-27</t>
        </is>
      </c>
      <c r="B220" t="inlineStr">
        <is>
          <t>Стирка-детский-Поиск</t>
        </is>
      </c>
      <c r="C220" t="inlineStr">
        <is>
          <t>ABC-LDR-034</t>
        </is>
      </c>
      <c r="D220" t="n">
        <v>4508</v>
      </c>
      <c r="E220" t="n">
        <v>80280</v>
      </c>
      <c r="F220" t="n">
        <v>3401</v>
      </c>
      <c r="G220" t="n">
        <v>223</v>
      </c>
    </row>
    <row r="221">
      <c r="A221" t="inlineStr">
        <is>
          <t>2026-04-28</t>
        </is>
      </c>
      <c r="B221" t="inlineStr">
        <is>
          <t>Кондиционер-Поиск</t>
        </is>
      </c>
      <c r="C221" t="inlineStr">
        <is>
          <t>ABC-LDR-027</t>
        </is>
      </c>
      <c r="D221" t="n">
        <v>6429</v>
      </c>
      <c r="E221" t="n">
        <v>68131</v>
      </c>
      <c r="F221" t="n">
        <v>1810</v>
      </c>
      <c r="G221" t="n">
        <v>80</v>
      </c>
    </row>
    <row r="222">
      <c r="A222" t="inlineStr">
        <is>
          <t>2026-04-28</t>
        </is>
      </c>
      <c r="B222" t="inlineStr">
        <is>
          <t>Кухня-крем-Поиск</t>
        </is>
      </c>
      <c r="C222" t="inlineStr">
        <is>
          <t>ABC-KIT-051</t>
        </is>
      </c>
      <c r="D222" t="n">
        <v>4449</v>
      </c>
      <c r="E222" t="n">
        <v>66251</v>
      </c>
      <c r="F222" t="n">
        <v>1061</v>
      </c>
      <c r="G222" t="n">
        <v>52</v>
      </c>
    </row>
    <row r="223">
      <c r="A223" t="inlineStr">
        <is>
          <t>2026-04-28</t>
        </is>
      </c>
      <c r="B223" t="inlineStr">
        <is>
          <t>Пол-апрель-Карточка</t>
        </is>
      </c>
      <c r="C223" t="inlineStr">
        <is>
          <t>ABC-CLN-042</t>
        </is>
      </c>
      <c r="D223" t="n">
        <v>14217</v>
      </c>
      <c r="E223" t="n">
        <v>182124</v>
      </c>
      <c r="F223" t="n">
        <v>6902</v>
      </c>
      <c r="G223" t="n">
        <v>524</v>
      </c>
    </row>
    <row r="224">
      <c r="A224" t="inlineStr">
        <is>
          <t>2026-04-28</t>
        </is>
      </c>
      <c r="B224" t="inlineStr">
        <is>
          <t>Пол-апрель-Поиск</t>
        </is>
      </c>
      <c r="C224" t="inlineStr">
        <is>
          <t>ABC-CLN-042</t>
        </is>
      </c>
      <c r="D224" t="n">
        <v>10633</v>
      </c>
      <c r="E224" t="n">
        <v>135600</v>
      </c>
      <c r="F224" t="n">
        <v>3320</v>
      </c>
      <c r="G224" t="n">
        <v>114</v>
      </c>
    </row>
    <row r="225">
      <c r="A225" t="inlineStr">
        <is>
          <t>2026-04-28</t>
        </is>
      </c>
      <c r="B225" t="inlineStr">
        <is>
          <t>Посуда-апрель-Карточка</t>
        </is>
      </c>
      <c r="C225" t="inlineStr">
        <is>
          <t>ABC-DSH-018</t>
        </is>
      </c>
      <c r="D225" t="n">
        <v>4174</v>
      </c>
      <c r="E225" t="n">
        <v>60343</v>
      </c>
      <c r="F225" t="n">
        <v>2820</v>
      </c>
      <c r="G225" t="n">
        <v>78</v>
      </c>
    </row>
    <row r="226">
      <c r="A226" t="inlineStr">
        <is>
          <t>2026-04-28</t>
        </is>
      </c>
      <c r="B226" t="inlineStr">
        <is>
          <t>Посуда-апрель-Поиск</t>
        </is>
      </c>
      <c r="C226" t="inlineStr">
        <is>
          <t>ABC-DSH-018</t>
        </is>
      </c>
      <c r="D226" t="n">
        <v>2733</v>
      </c>
      <c r="E226" t="n">
        <v>24122</v>
      </c>
      <c r="F226" t="n">
        <v>1015</v>
      </c>
      <c r="G226" t="n">
        <v>41</v>
      </c>
    </row>
    <row r="227">
      <c r="A227" t="inlineStr">
        <is>
          <t>2026-04-28</t>
        </is>
      </c>
      <c r="B227" t="inlineStr">
        <is>
          <t>Стёкла-Карточка</t>
        </is>
      </c>
      <c r="C227" t="inlineStr">
        <is>
          <t>ABC-WND-009</t>
        </is>
      </c>
      <c r="D227" t="n">
        <v>1126</v>
      </c>
      <c r="E227" t="n">
        <v>14586</v>
      </c>
      <c r="F227" t="n">
        <v>355</v>
      </c>
      <c r="G227" t="n">
        <v>22</v>
      </c>
    </row>
    <row r="228">
      <c r="A228" t="inlineStr">
        <is>
          <t>2026-04-28</t>
        </is>
      </c>
      <c r="B228" t="inlineStr">
        <is>
          <t>Стёкла-Категория</t>
        </is>
      </c>
      <c r="C228" t="inlineStr">
        <is>
          <t>ABC-WND-009</t>
        </is>
      </c>
      <c r="D228" t="n">
        <v>1591</v>
      </c>
      <c r="E228" t="n">
        <v>22084</v>
      </c>
      <c r="F228" t="n">
        <v>866</v>
      </c>
      <c r="G228" t="n">
        <v>33</v>
      </c>
    </row>
    <row r="229">
      <c r="A229" t="inlineStr">
        <is>
          <t>2026-04-28</t>
        </is>
      </c>
      <c r="B229" t="inlineStr">
        <is>
          <t>Стёкла-Поиск</t>
        </is>
      </c>
      <c r="C229" t="inlineStr">
        <is>
          <t>ABC-WND-009</t>
        </is>
      </c>
      <c r="D229" t="n">
        <v>2244</v>
      </c>
      <c r="E229" t="n">
        <v>32370</v>
      </c>
      <c r="F229" t="n">
        <v>1352</v>
      </c>
      <c r="G229" t="n">
        <v>88</v>
      </c>
    </row>
    <row r="230">
      <c r="A230" t="inlineStr">
        <is>
          <t>2026-04-29</t>
        </is>
      </c>
      <c r="B230" t="inlineStr">
        <is>
          <t>Кондиционер-Поиск</t>
        </is>
      </c>
      <c r="C230" t="inlineStr">
        <is>
          <t>ABC-LDR-027</t>
        </is>
      </c>
      <c r="D230" t="n">
        <v>-10640</v>
      </c>
      <c r="E230" t="n">
        <v>108354</v>
      </c>
      <c r="F230" t="n">
        <v>3046</v>
      </c>
      <c r="G230" t="n">
        <v>235</v>
      </c>
    </row>
    <row r="231">
      <c r="A231" t="inlineStr">
        <is>
          <t>2026-04-29</t>
        </is>
      </c>
      <c r="B231" t="inlineStr">
        <is>
          <t>Кухня-крем-Поиск</t>
        </is>
      </c>
      <c r="C231" t="inlineStr">
        <is>
          <t>ABC-KIT-051</t>
        </is>
      </c>
      <c r="D231" t="n">
        <v>4876</v>
      </c>
      <c r="E231" t="n">
        <v>83002</v>
      </c>
      <c r="F231" t="n">
        <v>1760</v>
      </c>
      <c r="G231" t="n">
        <v>83</v>
      </c>
    </row>
    <row r="232">
      <c r="A232" t="inlineStr">
        <is>
          <t>2026-04-29</t>
        </is>
      </c>
      <c r="B232" t="inlineStr">
        <is>
          <t>Пол-апрель-Карточка</t>
        </is>
      </c>
      <c r="C232" t="inlineStr">
        <is>
          <t>ABC-CLN-042</t>
        </is>
      </c>
      <c r="D232" t="n">
        <v>8681</v>
      </c>
      <c r="E232" t="n">
        <v>178038</v>
      </c>
      <c r="F232" t="n">
        <v>3453</v>
      </c>
      <c r="G232" t="n">
        <v>210</v>
      </c>
    </row>
    <row r="233">
      <c r="A233" t="inlineStr">
        <is>
          <t>2026-04-29</t>
        </is>
      </c>
      <c r="B233" t="inlineStr">
        <is>
          <t>Пол-апрель-Поиск</t>
        </is>
      </c>
      <c r="C233" t="inlineStr">
        <is>
          <t>ABC-CLN-042</t>
        </is>
      </c>
      <c r="D233" t="n">
        <v>10975</v>
      </c>
      <c r="E233" t="n">
        <v>107549</v>
      </c>
      <c r="F233" t="n">
        <v>4279</v>
      </c>
      <c r="G233" t="n">
        <v>290</v>
      </c>
    </row>
    <row r="234">
      <c r="A234" t="inlineStr">
        <is>
          <t>2026-04-29</t>
        </is>
      </c>
      <c r="B234" t="inlineStr">
        <is>
          <t>Стирка-детский-Категория</t>
        </is>
      </c>
      <c r="C234" t="inlineStr">
        <is>
          <t>ABC-LDR-034</t>
        </is>
      </c>
      <c r="D234" t="n">
        <v>4651</v>
      </c>
      <c r="E234" t="n">
        <v>68625</v>
      </c>
      <c r="F234" t="n">
        <v>1861</v>
      </c>
      <c r="G234" t="n">
        <v>75</v>
      </c>
    </row>
    <row r="235">
      <c r="A235" t="inlineStr">
        <is>
          <t>2026-04-29</t>
        </is>
      </c>
      <c r="B235" t="inlineStr">
        <is>
          <t>Стирка-детский-Поиск</t>
        </is>
      </c>
      <c r="C235" t="inlineStr">
        <is>
          <t>ABC-LDR-034</t>
        </is>
      </c>
      <c r="D235" t="n">
        <v>7138</v>
      </c>
      <c r="E235" t="n">
        <v>112633</v>
      </c>
      <c r="F235" t="n">
        <v>5021</v>
      </c>
      <c r="G235" t="n">
        <v>254</v>
      </c>
    </row>
    <row r="236">
      <c r="A236" t="inlineStr">
        <is>
          <t>2026-04-29</t>
        </is>
      </c>
      <c r="B236" t="inlineStr">
        <is>
          <t>Стёкла-Карточка</t>
        </is>
      </c>
      <c r="C236" t="inlineStr">
        <is>
          <t>ABC-WND-009</t>
        </is>
      </c>
      <c r="D236" t="n">
        <v>2111</v>
      </c>
      <c r="E236" t="n">
        <v>18838</v>
      </c>
      <c r="F236" t="n">
        <v>473</v>
      </c>
      <c r="G236" t="n">
        <v>30</v>
      </c>
    </row>
    <row r="237">
      <c r="A237" t="inlineStr">
        <is>
          <t>2026-04-29</t>
        </is>
      </c>
      <c r="B237" t="inlineStr">
        <is>
          <t>Стёкла-Категория</t>
        </is>
      </c>
      <c r="C237" t="inlineStr">
        <is>
          <t>ABC-WND-009</t>
        </is>
      </c>
      <c r="D237" t="n">
        <v>2050</v>
      </c>
      <c r="E237" t="n">
        <v>25821</v>
      </c>
      <c r="F237" t="n">
        <v>1039</v>
      </c>
      <c r="G237" t="n">
        <v>61</v>
      </c>
    </row>
    <row r="238">
      <c r="A238" t="inlineStr">
        <is>
          <t>2026-04-29</t>
        </is>
      </c>
      <c r="B238" t="inlineStr">
        <is>
          <t>Стёкла-Поиск</t>
        </is>
      </c>
      <c r="C238" t="inlineStr">
        <is>
          <t>ABC-WND-009</t>
        </is>
      </c>
      <c r="D238" t="n">
        <v>1885</v>
      </c>
      <c r="E238" t="n">
        <v>24636</v>
      </c>
      <c r="F238" t="n">
        <v>898</v>
      </c>
      <c r="G238" t="n">
        <v>52</v>
      </c>
    </row>
    <row r="239">
      <c r="A239" t="inlineStr">
        <is>
          <t>2026-04-30</t>
        </is>
      </c>
      <c r="B239" t="inlineStr">
        <is>
          <t>Кухня-крем-Поиск</t>
        </is>
      </c>
      <c r="C239" t="inlineStr">
        <is>
          <t>ABC-KIT-051</t>
        </is>
      </c>
      <c r="D239" t="n">
        <v>17817</v>
      </c>
      <c r="E239" t="n">
        <v>74807</v>
      </c>
      <c r="F239" t="n">
        <v>1550</v>
      </c>
      <c r="G239" t="n">
        <v>106</v>
      </c>
    </row>
    <row r="240">
      <c r="A240" t="inlineStr">
        <is>
          <t>2026-04-30</t>
        </is>
      </c>
      <c r="B240" t="inlineStr">
        <is>
          <t>Посуда-апрель-Карточка</t>
        </is>
      </c>
      <c r="C240" t="inlineStr">
        <is>
          <t>ABC-DSH-018</t>
        </is>
      </c>
      <c r="D240" t="n">
        <v>5826</v>
      </c>
      <c r="E240" t="n">
        <v>49177</v>
      </c>
      <c r="F240" t="n">
        <v>2250</v>
      </c>
      <c r="G240" t="n">
        <v>169</v>
      </c>
    </row>
    <row r="241">
      <c r="A241" t="inlineStr">
        <is>
          <t>2026-04-30</t>
        </is>
      </c>
      <c r="B241" t="inlineStr">
        <is>
          <t>Посуда-апрель-Поиск</t>
        </is>
      </c>
      <c r="C241" t="inlineStr">
        <is>
          <t>ABC-DSH-018</t>
        </is>
      </c>
      <c r="D241" t="n">
        <v>2913</v>
      </c>
      <c r="E241" t="n">
        <v>35047</v>
      </c>
      <c r="F241" t="n">
        <v>806</v>
      </c>
      <c r="G241" t="n">
        <v>25</v>
      </c>
    </row>
    <row r="242">
      <c r="A242" t="inlineStr">
        <is>
          <t>2026-04-30</t>
        </is>
      </c>
      <c r="B242" t="inlineStr">
        <is>
          <t>Стирка-детский-Категория</t>
        </is>
      </c>
      <c r="C242" t="inlineStr">
        <is>
          <t>ABC-LDR-034</t>
        </is>
      </c>
      <c r="D242" t="n">
        <v>-6382</v>
      </c>
      <c r="E242" t="n">
        <v>108915</v>
      </c>
      <c r="F242" t="n">
        <v>3434</v>
      </c>
      <c r="G242" t="n">
        <v>77</v>
      </c>
    </row>
    <row r="243">
      <c r="A243" t="inlineStr">
        <is>
          <t>2026-04-30</t>
        </is>
      </c>
      <c r="B243" t="inlineStr">
        <is>
          <t>Стирка-детский-Поиск</t>
        </is>
      </c>
      <c r="C243" t="inlineStr">
        <is>
          <t>ABC-LDR-034</t>
        </is>
      </c>
      <c r="D243" t="n">
        <v>4123</v>
      </c>
      <c r="E243" t="n">
        <v>35445</v>
      </c>
      <c r="F243" t="n">
        <v>1540</v>
      </c>
      <c r="G243" t="n">
        <v>117</v>
      </c>
    </row>
    <row r="244">
      <c r="A244" t="inlineStr">
        <is>
          <t>2026-04-30</t>
        </is>
      </c>
      <c r="B244" t="inlineStr">
        <is>
          <t>Стёкла-Карточка</t>
        </is>
      </c>
      <c r="C244" t="inlineStr">
        <is>
          <t>ABC-WND-009</t>
        </is>
      </c>
      <c r="D244" t="n">
        <v>2101</v>
      </c>
      <c r="E244" t="n">
        <v>24042</v>
      </c>
      <c r="F244" t="n">
        <v>893</v>
      </c>
      <c r="G244" t="n">
        <v>33</v>
      </c>
    </row>
    <row r="245">
      <c r="A245" t="inlineStr">
        <is>
          <t>2026-04-30</t>
        </is>
      </c>
      <c r="B245" t="inlineStr">
        <is>
          <t>Стёкла-Категория</t>
        </is>
      </c>
      <c r="C245" t="inlineStr">
        <is>
          <t>ABC-WND-009</t>
        </is>
      </c>
      <c r="D245" t="n">
        <v>1066</v>
      </c>
      <c r="E245" t="n">
        <v>18509</v>
      </c>
      <c r="F245" t="n">
        <v>366</v>
      </c>
      <c r="G245" t="n">
        <v>18</v>
      </c>
    </row>
    <row r="246">
      <c r="A246" t="inlineStr">
        <is>
          <t>2026-04-30</t>
        </is>
      </c>
      <c r="B246" t="inlineStr">
        <is>
          <t>Стёкла-Поиск</t>
        </is>
      </c>
      <c r="C246" t="inlineStr">
        <is>
          <t>ABC-WND-009</t>
        </is>
      </c>
      <c r="D246" t="n">
        <v>1283</v>
      </c>
      <c r="E246" t="n">
        <v>14679</v>
      </c>
      <c r="F246" t="n">
        <v>497</v>
      </c>
      <c r="G246" t="n">
        <v>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Дата</t>
        </is>
      </c>
      <c r="B1" s="1" t="inlineStr">
        <is>
          <t>Кампания</t>
        </is>
      </c>
      <c r="C1" s="1" t="inlineStr">
        <is>
          <t>SKU</t>
        </is>
      </c>
      <c r="D1" s="1" t="inlineStr">
        <is>
          <t>Расход, ₽</t>
        </is>
      </c>
      <c r="E1" s="1" t="inlineStr">
        <is>
          <t>Показы</t>
        </is>
      </c>
      <c r="F1" s="1" t="inlineStr">
        <is>
          <t>Клики</t>
        </is>
      </c>
      <c r="G1" s="1" t="inlineStr">
        <is>
          <t>Заказы</t>
        </is>
      </c>
    </row>
    <row r="2">
      <c r="A2" t="inlineStr">
        <is>
          <t>2026-04-01</t>
        </is>
      </c>
      <c r="B2" t="inlineStr">
        <is>
          <t>WB-Пол-Авто</t>
        </is>
      </c>
      <c r="C2" t="inlineStr">
        <is>
          <t>ABC-CLN-042</t>
        </is>
      </c>
      <c r="D2" t="n">
        <v>8767</v>
      </c>
      <c r="E2" t="n">
        <v>116011</v>
      </c>
      <c r="F2" t="n">
        <v>3198</v>
      </c>
      <c r="G2" t="n">
        <v>248</v>
      </c>
    </row>
    <row r="3">
      <c r="A3" t="inlineStr">
        <is>
          <t>2026-04-01</t>
        </is>
      </c>
      <c r="B3" t="inlineStr">
        <is>
          <t>WB-Посуда-Авто</t>
        </is>
      </c>
      <c r="C3" t="inlineStr">
        <is>
          <t>ABC-DSH-018</t>
        </is>
      </c>
      <c r="D3" t="n">
        <v>6700</v>
      </c>
      <c r="E3" t="n">
        <v>80372</v>
      </c>
      <c r="F3" t="n">
        <v>1867</v>
      </c>
      <c r="G3" t="n">
        <v>145</v>
      </c>
    </row>
    <row r="4">
      <c r="A4" t="inlineStr">
        <is>
          <t>2026-04-01</t>
        </is>
      </c>
      <c r="B4" t="inlineStr">
        <is>
          <t>WB-Стирка-детский-Авто</t>
        </is>
      </c>
      <c r="C4" t="inlineStr">
        <is>
          <t>ABC-LDR-034</t>
        </is>
      </c>
      <c r="D4" t="n">
        <v>12510</v>
      </c>
      <c r="E4" t="n">
        <v>138569</v>
      </c>
      <c r="F4" t="n">
        <v>5050</v>
      </c>
      <c r="G4" t="n">
        <v>323</v>
      </c>
    </row>
    <row r="5">
      <c r="A5" t="inlineStr">
        <is>
          <t>2026-04-01</t>
        </is>
      </c>
      <c r="B5" t="inlineStr">
        <is>
          <t>WB-Стёкла-Авто</t>
        </is>
      </c>
      <c r="C5" t="inlineStr">
        <is>
          <t>ABC-WND-009</t>
        </is>
      </c>
      <c r="D5" t="n">
        <v>1561</v>
      </c>
      <c r="E5" t="n">
        <v>23753</v>
      </c>
      <c r="F5" t="n">
        <v>1146</v>
      </c>
      <c r="G5" t="n">
        <v>82</v>
      </c>
    </row>
    <row r="6">
      <c r="A6" t="inlineStr">
        <is>
          <t>2026-04-01</t>
        </is>
      </c>
      <c r="B6" t="inlineStr">
        <is>
          <t>WB-Стёкла-Каталог</t>
        </is>
      </c>
      <c r="C6" t="inlineStr">
        <is>
          <t>ABC-WND-009</t>
        </is>
      </c>
      <c r="D6" t="n">
        <v>2226</v>
      </c>
      <c r="E6" t="n">
        <v>37990</v>
      </c>
      <c r="F6" t="n">
        <v>1182</v>
      </c>
      <c r="G6" t="n">
        <v>69</v>
      </c>
    </row>
    <row r="7">
      <c r="A7" t="inlineStr">
        <is>
          <t>2026-04-02</t>
        </is>
      </c>
      <c r="B7" t="inlineStr">
        <is>
          <t>WB-Кондиционер-Авто</t>
        </is>
      </c>
      <c r="C7" t="inlineStr">
        <is>
          <t>ABC-LDR-027</t>
        </is>
      </c>
      <c r="D7" t="n">
        <v>3193</v>
      </c>
      <c r="E7" t="n">
        <v>44073</v>
      </c>
      <c r="F7" t="n">
        <v>662</v>
      </c>
      <c r="G7" t="n">
        <v>30</v>
      </c>
    </row>
    <row r="8">
      <c r="A8" t="inlineStr">
        <is>
          <t>2026-04-02</t>
        </is>
      </c>
      <c r="B8" t="inlineStr">
        <is>
          <t>WB-Кухня-Авто</t>
        </is>
      </c>
      <c r="C8" t="inlineStr">
        <is>
          <t>ABC-KIT-051</t>
        </is>
      </c>
      <c r="D8" t="n">
        <v>5997</v>
      </c>
      <c r="E8" t="n">
        <v>77409</v>
      </c>
      <c r="F8" t="n">
        <v>1894</v>
      </c>
      <c r="G8" t="n">
        <v>45</v>
      </c>
    </row>
    <row r="9">
      <c r="A9" t="inlineStr">
        <is>
          <t>2026-04-02</t>
        </is>
      </c>
      <c r="B9" t="inlineStr">
        <is>
          <t>WB-Пол-Авто</t>
        </is>
      </c>
      <c r="C9" t="inlineStr">
        <is>
          <t>ABC-CLN-042</t>
        </is>
      </c>
      <c r="D9" t="n">
        <v>7007</v>
      </c>
      <c r="E9" t="n">
        <v>82274</v>
      </c>
      <c r="F9" t="n">
        <v>3214</v>
      </c>
      <c r="G9" t="n">
        <v>180</v>
      </c>
    </row>
    <row r="10">
      <c r="A10" t="inlineStr">
        <is>
          <t>2026-04-02</t>
        </is>
      </c>
      <c r="B10" t="inlineStr">
        <is>
          <t>WB-Посуда-Авто</t>
        </is>
      </c>
      <c r="C10" t="inlineStr">
        <is>
          <t>ABC-DSH-018</t>
        </is>
      </c>
      <c r="D10" t="n">
        <v>5624</v>
      </c>
      <c r="E10" t="n">
        <v>89280</v>
      </c>
      <c r="F10" t="n">
        <v>2395</v>
      </c>
      <c r="G10" t="n">
        <v>70</v>
      </c>
    </row>
    <row r="11">
      <c r="A11" t="inlineStr">
        <is>
          <t>2026-04-02</t>
        </is>
      </c>
      <c r="B11" t="inlineStr">
        <is>
          <t>WB-Стирка-детский-Авто</t>
        </is>
      </c>
      <c r="C11" t="inlineStr">
        <is>
          <t>ABC-LDR-034</t>
        </is>
      </c>
      <c r="D11" t="n">
        <v>6920</v>
      </c>
      <c r="E11" t="n">
        <v>95479</v>
      </c>
      <c r="F11" t="n">
        <v>2345</v>
      </c>
      <c r="G11" t="n">
        <v>168</v>
      </c>
    </row>
    <row r="12">
      <c r="A12" t="inlineStr">
        <is>
          <t>2026-04-03</t>
        </is>
      </c>
      <c r="B12" t="inlineStr">
        <is>
          <t>WB-Пол-Авто</t>
        </is>
      </c>
      <c r="C12" t="inlineStr">
        <is>
          <t>ABC-CLN-042</t>
        </is>
      </c>
      <c r="D12" t="n">
        <v>11699</v>
      </c>
      <c r="E12" t="n">
        <v>182726</v>
      </c>
      <c r="F12" t="n">
        <v>4267</v>
      </c>
      <c r="G12" t="n">
        <v>301</v>
      </c>
    </row>
    <row r="13">
      <c r="A13" t="inlineStr">
        <is>
          <t>2026-04-03</t>
        </is>
      </c>
      <c r="B13" t="inlineStr">
        <is>
          <t>WB-Стирка-детский-Авто</t>
        </is>
      </c>
      <c r="C13" t="inlineStr">
        <is>
          <t>ABC-LDR-034</t>
        </is>
      </c>
      <c r="D13" t="n">
        <v>10141</v>
      </c>
      <c r="E13" t="n">
        <v>138218</v>
      </c>
      <c r="F13" t="n">
        <v>3731</v>
      </c>
      <c r="G13" t="n">
        <v>86</v>
      </c>
    </row>
    <row r="14">
      <c r="A14" t="inlineStr">
        <is>
          <t>2026-04-03</t>
        </is>
      </c>
      <c r="B14" t="inlineStr">
        <is>
          <t>WB-Стёкла-Авто</t>
        </is>
      </c>
      <c r="C14" t="inlineStr">
        <is>
          <t>ABC-WND-009</t>
        </is>
      </c>
      <c r="D14" t="n">
        <v>2403</v>
      </c>
      <c r="E14" t="n">
        <v>21028</v>
      </c>
      <c r="F14" t="n">
        <v>750</v>
      </c>
      <c r="G14" t="n">
        <v>52</v>
      </c>
    </row>
    <row r="15">
      <c r="A15" t="inlineStr">
        <is>
          <t>2026-04-03</t>
        </is>
      </c>
      <c r="B15" t="inlineStr">
        <is>
          <t>WB-Стёкла-Каталог</t>
        </is>
      </c>
      <c r="C15" t="inlineStr">
        <is>
          <t>ABC-WND-009</t>
        </is>
      </c>
      <c r="D15" t="n">
        <v>2311</v>
      </c>
      <c r="E15" t="n">
        <v>20117</v>
      </c>
      <c r="F15" t="n">
        <v>314</v>
      </c>
      <c r="G15" t="n">
        <v>9</v>
      </c>
    </row>
    <row r="16">
      <c r="A16" t="inlineStr">
        <is>
          <t>2026-04-04</t>
        </is>
      </c>
      <c r="B16" t="inlineStr">
        <is>
          <t>WB-Кухня-Авто</t>
        </is>
      </c>
      <c r="C16" t="inlineStr">
        <is>
          <t>ABC-KIT-051</t>
        </is>
      </c>
      <c r="D16" t="n">
        <v>3225</v>
      </c>
      <c r="E16" t="n">
        <v>31951</v>
      </c>
      <c r="F16" t="n">
        <v>946</v>
      </c>
      <c r="G16" t="n">
        <v>48</v>
      </c>
    </row>
    <row r="17">
      <c r="A17" t="inlineStr">
        <is>
          <t>2026-04-04</t>
        </is>
      </c>
      <c r="B17" t="inlineStr">
        <is>
          <t>WB-Пол-Авто</t>
        </is>
      </c>
      <c r="C17" t="inlineStr">
        <is>
          <t>ABC-CLN-042</t>
        </is>
      </c>
      <c r="D17" t="n">
        <v>14894</v>
      </c>
      <c r="E17" t="n">
        <v>124406</v>
      </c>
      <c r="F17" t="n">
        <v>3320</v>
      </c>
      <c r="G17" t="n">
        <v>139</v>
      </c>
    </row>
    <row r="18">
      <c r="A18" t="inlineStr">
        <is>
          <t>2026-04-04</t>
        </is>
      </c>
      <c r="B18" t="inlineStr">
        <is>
          <t>WB-Посуда-Авто</t>
        </is>
      </c>
      <c r="C18" t="inlineStr">
        <is>
          <t>ABC-DSH-018</t>
        </is>
      </c>
      <c r="D18" t="n">
        <v>4282</v>
      </c>
      <c r="E18" t="n">
        <v>70421</v>
      </c>
      <c r="F18" t="n">
        <v>1508</v>
      </c>
      <c r="G18" t="n">
        <v>43</v>
      </c>
    </row>
    <row r="19">
      <c r="A19" t="inlineStr">
        <is>
          <t>2026-04-04</t>
        </is>
      </c>
      <c r="B19" t="inlineStr">
        <is>
          <t>WB-Стирка-детский-Авто</t>
        </is>
      </c>
      <c r="C19" t="inlineStr">
        <is>
          <t>ABC-LDR-034</t>
        </is>
      </c>
      <c r="D19" t="n">
        <v>6638</v>
      </c>
      <c r="E19" t="n">
        <v>80827</v>
      </c>
      <c r="F19" t="n">
        <v>3777</v>
      </c>
      <c r="G19" t="n">
        <v>203</v>
      </c>
    </row>
    <row r="20">
      <c r="A20" t="inlineStr">
        <is>
          <t>2026-04-05</t>
        </is>
      </c>
      <c r="B20" t="inlineStr">
        <is>
          <t>WB-Пол-Авто</t>
        </is>
      </c>
      <c r="C20" t="inlineStr">
        <is>
          <t>ABC-CLN-042</t>
        </is>
      </c>
      <c r="D20" t="n">
        <v>10140</v>
      </c>
      <c r="E20" t="n">
        <v>135889</v>
      </c>
      <c r="F20" t="n">
        <v>3241</v>
      </c>
      <c r="G20" t="n">
        <v>191</v>
      </c>
    </row>
    <row r="21">
      <c r="A21" t="inlineStr">
        <is>
          <t>2026-04-05</t>
        </is>
      </c>
      <c r="B21" t="inlineStr">
        <is>
          <t>WB-Стирка-детский-Авто</t>
        </is>
      </c>
      <c r="C21" t="inlineStr">
        <is>
          <t>ABC-LDR-034</t>
        </is>
      </c>
      <c r="D21" t="n">
        <v>11592</v>
      </c>
      <c r="E21" t="n">
        <v>162017</v>
      </c>
      <c r="F21" t="n">
        <v>2791</v>
      </c>
      <c r="G21" t="n">
        <v>141</v>
      </c>
    </row>
    <row r="22">
      <c r="A22" t="inlineStr">
        <is>
          <t>2026-04-05</t>
        </is>
      </c>
      <c r="B22" t="inlineStr">
        <is>
          <t>WB-Стёкла-Авто</t>
        </is>
      </c>
      <c r="C22" t="inlineStr">
        <is>
          <t>ABC-WND-009</t>
        </is>
      </c>
      <c r="D22" t="n">
        <v>2642</v>
      </c>
      <c r="E22" t="n">
        <v>37309</v>
      </c>
      <c r="F22" t="n">
        <v>1776</v>
      </c>
      <c r="G22" t="n">
        <v>67</v>
      </c>
    </row>
    <row r="23">
      <c r="A23" t="inlineStr">
        <is>
          <t>2026-04-05</t>
        </is>
      </c>
      <c r="B23" t="inlineStr">
        <is>
          <t>WB-Стёкла-Каталог</t>
        </is>
      </c>
      <c r="C23" t="inlineStr">
        <is>
          <t>ABC-WND-009</t>
        </is>
      </c>
      <c r="D23" t="n">
        <v>2336</v>
      </c>
      <c r="E23" t="n">
        <v>28460</v>
      </c>
      <c r="F23" t="n">
        <v>1169</v>
      </c>
      <c r="G23" t="n">
        <v>58</v>
      </c>
    </row>
    <row r="24">
      <c r="A24" t="inlineStr">
        <is>
          <t>2026-04-06</t>
        </is>
      </c>
      <c r="B24" t="inlineStr">
        <is>
          <t>WB-Кондиционер-Авто</t>
        </is>
      </c>
      <c r="C24" t="inlineStr">
        <is>
          <t>ABC-LDR-027</t>
        </is>
      </c>
      <c r="D24" t="n">
        <v>4790</v>
      </c>
      <c r="E24" t="n">
        <v>59294</v>
      </c>
      <c r="F24" t="n">
        <v>2580</v>
      </c>
      <c r="G24" t="n">
        <v>91</v>
      </c>
    </row>
    <row r="25">
      <c r="A25" t="inlineStr">
        <is>
          <t>2026-04-06</t>
        </is>
      </c>
      <c r="B25" t="inlineStr">
        <is>
          <t>WB-Пол-Авто</t>
        </is>
      </c>
      <c r="C25" t="inlineStr">
        <is>
          <t>ABC-CLN-042</t>
        </is>
      </c>
      <c r="D25" t="n">
        <v>14591</v>
      </c>
      <c r="E25" t="n">
        <v>251989</v>
      </c>
      <c r="F25" t="n">
        <v>11238</v>
      </c>
      <c r="G25" t="n">
        <v>372</v>
      </c>
    </row>
    <row r="26">
      <c r="A26" t="inlineStr">
        <is>
          <t>2026-04-06</t>
        </is>
      </c>
      <c r="B26" t="inlineStr">
        <is>
          <t>WB-Посуда-Авто</t>
        </is>
      </c>
      <c r="C26" t="inlineStr">
        <is>
          <t>ABC-DSH-018</t>
        </is>
      </c>
      <c r="D26" t="n">
        <v>4593</v>
      </c>
      <c r="E26" t="n">
        <v>44341</v>
      </c>
      <c r="F26" t="n">
        <v>809</v>
      </c>
      <c r="G26" t="n">
        <v>45</v>
      </c>
    </row>
    <row r="27">
      <c r="A27" t="inlineStr">
        <is>
          <t>2026-04-06</t>
        </is>
      </c>
      <c r="B27" t="inlineStr">
        <is>
          <t>WB-Стирка-детский-Авто</t>
        </is>
      </c>
      <c r="C27" t="inlineStr">
        <is>
          <t>ABC-LDR-034</t>
        </is>
      </c>
      <c r="D27" t="n">
        <v>12694</v>
      </c>
      <c r="E27" t="n">
        <v>184438</v>
      </c>
      <c r="F27" t="n">
        <v>5696</v>
      </c>
      <c r="G27" t="n">
        <v>120</v>
      </c>
    </row>
    <row r="28">
      <c r="A28" t="inlineStr">
        <is>
          <t>2026-04-07</t>
        </is>
      </c>
      <c r="B28" t="inlineStr">
        <is>
          <t>WB-Кондиционер-Авто</t>
        </is>
      </c>
      <c r="C28" t="inlineStr">
        <is>
          <t>ABC-LDR-027</t>
        </is>
      </c>
      <c r="D28" t="n">
        <v>3382</v>
      </c>
      <c r="E28" t="n">
        <v>31245</v>
      </c>
      <c r="F28" t="n">
        <v>654</v>
      </c>
      <c r="G28" t="n">
        <v>26</v>
      </c>
    </row>
    <row r="29">
      <c r="A29" t="inlineStr">
        <is>
          <t>2026-04-07</t>
        </is>
      </c>
      <c r="B29" t="inlineStr">
        <is>
          <t>WB-Пол-Авто</t>
        </is>
      </c>
      <c r="C29" t="inlineStr">
        <is>
          <t>ABC-CLN-042</t>
        </is>
      </c>
      <c r="D29" t="n">
        <v>13366</v>
      </c>
      <c r="E29" t="n">
        <v>210257</v>
      </c>
      <c r="F29" t="n">
        <v>7604</v>
      </c>
      <c r="G29" t="n">
        <v>460</v>
      </c>
    </row>
    <row r="30">
      <c r="A30" t="inlineStr">
        <is>
          <t>2026-04-07</t>
        </is>
      </c>
      <c r="B30" t="inlineStr">
        <is>
          <t>WB-Посуда-Авто</t>
        </is>
      </c>
      <c r="C30" t="inlineStr">
        <is>
          <t>ABC-DSH-018</t>
        </is>
      </c>
      <c r="D30" t="n">
        <v>8066</v>
      </c>
      <c r="E30" t="n">
        <v>74352</v>
      </c>
      <c r="F30" t="n">
        <v>2194</v>
      </c>
      <c r="G30" t="n">
        <v>116</v>
      </c>
    </row>
    <row r="31">
      <c r="A31" t="inlineStr">
        <is>
          <t>2026-04-07</t>
        </is>
      </c>
      <c r="B31" t="inlineStr">
        <is>
          <t>WB-Стёкла-Авто</t>
        </is>
      </c>
      <c r="C31" t="inlineStr">
        <is>
          <t>ABC-WND-009</t>
        </is>
      </c>
      <c r="D31" t="n">
        <v>2770</v>
      </c>
      <c r="E31" t="n">
        <v>46276</v>
      </c>
      <c r="F31" t="n">
        <v>965</v>
      </c>
      <c r="G31" t="n">
        <v>66</v>
      </c>
    </row>
    <row r="32">
      <c r="A32" t="inlineStr">
        <is>
          <t>2026-04-07</t>
        </is>
      </c>
      <c r="B32" t="inlineStr">
        <is>
          <t>WB-Стёкла-Каталог</t>
        </is>
      </c>
      <c r="C32" t="inlineStr">
        <is>
          <t>ABC-WND-009</t>
        </is>
      </c>
      <c r="D32" t="n">
        <v>2231</v>
      </c>
      <c r="E32" t="n">
        <v>36225</v>
      </c>
      <c r="F32" t="n">
        <v>1462</v>
      </c>
      <c r="G32" t="n">
        <v>111</v>
      </c>
    </row>
    <row r="33">
      <c r="A33" t="inlineStr">
        <is>
          <t>2026-04-08</t>
        </is>
      </c>
      <c r="B33" t="inlineStr">
        <is>
          <t>WB-Пол-Авто</t>
        </is>
      </c>
      <c r="C33" t="inlineStr">
        <is>
          <t>ABC-CLN-042</t>
        </is>
      </c>
      <c r="D33" t="n">
        <v>9270</v>
      </c>
      <c r="E33" t="n">
        <v>145811</v>
      </c>
      <c r="F33" t="n">
        <v>3407</v>
      </c>
      <c r="G33" t="n">
        <v>182</v>
      </c>
    </row>
    <row r="34">
      <c r="A34" t="inlineStr">
        <is>
          <t>2026-04-08</t>
        </is>
      </c>
      <c r="B34" t="inlineStr">
        <is>
          <t>WB-Посуда-Авто</t>
        </is>
      </c>
      <c r="C34" t="inlineStr">
        <is>
          <t>ABC-DSH-018</t>
        </is>
      </c>
      <c r="D34" t="n">
        <v>4851</v>
      </c>
      <c r="E34" t="n">
        <v>83331</v>
      </c>
      <c r="F34" t="n">
        <v>3492</v>
      </c>
      <c r="G34" t="n">
        <v>204</v>
      </c>
    </row>
    <row r="35">
      <c r="A35" t="inlineStr">
        <is>
          <t>2026-04-08</t>
        </is>
      </c>
      <c r="B35" t="inlineStr">
        <is>
          <t>WB-Стирка-детский-Авто</t>
        </is>
      </c>
      <c r="C35" t="inlineStr">
        <is>
          <t>ABC-LDR-034</t>
        </is>
      </c>
      <c r="D35" t="n">
        <v>11975</v>
      </c>
      <c r="E35" t="n">
        <v>158324</v>
      </c>
      <c r="F35" t="n">
        <v>7730</v>
      </c>
      <c r="G35" t="n">
        <v>517</v>
      </c>
    </row>
    <row r="36">
      <c r="A36" t="inlineStr">
        <is>
          <t>2026-04-08</t>
        </is>
      </c>
      <c r="B36" t="inlineStr">
        <is>
          <t>WB-Стёкла-Авто</t>
        </is>
      </c>
      <c r="C36" t="inlineStr">
        <is>
          <t>ABC-WND-009</t>
        </is>
      </c>
      <c r="D36" t="n">
        <v>2761</v>
      </c>
      <c r="E36" t="n">
        <v>26271</v>
      </c>
      <c r="F36" t="n">
        <v>1229</v>
      </c>
      <c r="G36" t="n">
        <v>70</v>
      </c>
    </row>
    <row r="37">
      <c r="A37" t="inlineStr">
        <is>
          <t>2026-04-08</t>
        </is>
      </c>
      <c r="B37" t="inlineStr">
        <is>
          <t>WB-Стёкла-Каталог</t>
        </is>
      </c>
      <c r="C37" t="inlineStr">
        <is>
          <t>ABC-WND-009</t>
        </is>
      </c>
      <c r="D37" t="n">
        <v>2845</v>
      </c>
      <c r="E37" t="n">
        <v>41264</v>
      </c>
      <c r="F37" t="n">
        <v>1284</v>
      </c>
      <c r="G37" t="n">
        <v>91</v>
      </c>
    </row>
    <row r="38">
      <c r="A38" t="inlineStr">
        <is>
          <t>2026-04-09</t>
        </is>
      </c>
      <c r="B38" t="inlineStr">
        <is>
          <t>WB-Кондиционер-Авто</t>
        </is>
      </c>
      <c r="C38" t="inlineStr">
        <is>
          <t>ABC-LDR-027</t>
        </is>
      </c>
      <c r="D38" t="n">
        <v>4665</v>
      </c>
      <c r="E38" t="n">
        <v>48260</v>
      </c>
      <c r="F38" t="n">
        <v>1687</v>
      </c>
      <c r="G38" t="n">
        <v>60</v>
      </c>
    </row>
    <row r="39">
      <c r="A39" t="inlineStr">
        <is>
          <t>2026-04-09</t>
        </is>
      </c>
      <c r="B39" t="inlineStr">
        <is>
          <t>WB-Кухня-Авто</t>
        </is>
      </c>
      <c r="C39" t="inlineStr">
        <is>
          <t>ABC-KIT-051</t>
        </is>
      </c>
      <c r="D39" t="n">
        <v>4563</v>
      </c>
      <c r="E39" t="n">
        <v>80676</v>
      </c>
      <c r="F39" t="n">
        <v>3659</v>
      </c>
      <c r="G39" t="n">
        <v>293</v>
      </c>
    </row>
    <row r="40">
      <c r="A40" t="inlineStr">
        <is>
          <t>2026-04-09</t>
        </is>
      </c>
      <c r="B40" t="inlineStr">
        <is>
          <t>WB-Пол-Авто</t>
        </is>
      </c>
      <c r="C40" t="inlineStr">
        <is>
          <t>ABC-CLN-042</t>
        </is>
      </c>
      <c r="D40" t="n">
        <v>9049</v>
      </c>
      <c r="E40" t="n">
        <v>120595</v>
      </c>
      <c r="F40" t="n">
        <v>1978</v>
      </c>
      <c r="G40" t="n">
        <v>77</v>
      </c>
    </row>
    <row r="41">
      <c r="A41" t="inlineStr">
        <is>
          <t>2026-04-09</t>
        </is>
      </c>
      <c r="B41" t="inlineStr">
        <is>
          <t>WB-Посуда-Авто</t>
        </is>
      </c>
      <c r="C41" t="inlineStr">
        <is>
          <t>ABC-DSH-018</t>
        </is>
      </c>
      <c r="D41" t="n">
        <v>4262</v>
      </c>
      <c r="E41" t="n">
        <v>42698</v>
      </c>
      <c r="F41" t="n">
        <v>1476</v>
      </c>
      <c r="G41" t="n">
        <v>115</v>
      </c>
    </row>
    <row r="42">
      <c r="A42" t="inlineStr">
        <is>
          <t>2026-04-10</t>
        </is>
      </c>
      <c r="B42" t="inlineStr">
        <is>
          <t>WB-Кондиционер-Авто</t>
        </is>
      </c>
      <c r="C42" t="inlineStr">
        <is>
          <t>ABC-LDR-027</t>
        </is>
      </c>
      <c r="D42" t="n">
        <v>5176</v>
      </c>
      <c r="E42" t="n">
        <v>88949</v>
      </c>
      <c r="F42" t="n">
        <v>3430</v>
      </c>
      <c r="G42" t="n">
        <v>147</v>
      </c>
    </row>
    <row r="43">
      <c r="A43" t="inlineStr">
        <is>
          <t>2026-04-10</t>
        </is>
      </c>
      <c r="B43" t="inlineStr">
        <is>
          <t>WB-Кухня-Авто</t>
        </is>
      </c>
      <c r="C43" t="inlineStr">
        <is>
          <t>ABC-KIT-051</t>
        </is>
      </c>
      <c r="D43" t="n">
        <v>5740</v>
      </c>
      <c r="E43" t="n">
        <v>71245</v>
      </c>
      <c r="F43" t="n">
        <v>3154</v>
      </c>
      <c r="G43" t="n">
        <v>251</v>
      </c>
    </row>
    <row r="44">
      <c r="A44" t="inlineStr">
        <is>
          <t>2026-04-10</t>
        </is>
      </c>
      <c r="B44" t="inlineStr">
        <is>
          <t>WB-Посуда-Авто</t>
        </is>
      </c>
      <c r="C44" t="inlineStr">
        <is>
          <t>ABC-DSH-018</t>
        </is>
      </c>
      <c r="D44" t="n">
        <v>8437</v>
      </c>
      <c r="E44" t="n">
        <v>75165</v>
      </c>
      <c r="F44" t="n">
        <v>1968</v>
      </c>
      <c r="G44" t="n">
        <v>124</v>
      </c>
    </row>
    <row r="45">
      <c r="A45" t="inlineStr">
        <is>
          <t>2026-04-10</t>
        </is>
      </c>
      <c r="B45" t="inlineStr">
        <is>
          <t>WB-Стёкла-Авто</t>
        </is>
      </c>
      <c r="C45" t="inlineStr">
        <is>
          <t>ABC-WND-009</t>
        </is>
      </c>
      <c r="D45" t="n">
        <v>1829</v>
      </c>
      <c r="E45" t="n">
        <v>28420</v>
      </c>
      <c r="F45" t="n">
        <v>1379</v>
      </c>
      <c r="G45" t="n">
        <v>78</v>
      </c>
    </row>
    <row r="46">
      <c r="A46" t="inlineStr">
        <is>
          <t>2026-04-10</t>
        </is>
      </c>
      <c r="B46" t="inlineStr">
        <is>
          <t>WB-Стёкла-Каталог</t>
        </is>
      </c>
      <c r="C46" t="inlineStr">
        <is>
          <t>ABC-WND-009</t>
        </is>
      </c>
      <c r="D46" t="n">
        <v>1317</v>
      </c>
      <c r="E46" t="n">
        <v>21185</v>
      </c>
      <c r="F46" t="n">
        <v>1011</v>
      </c>
      <c r="G46" t="n">
        <v>50</v>
      </c>
    </row>
    <row r="47">
      <c r="A47" t="inlineStr">
        <is>
          <t>2026-04-11</t>
        </is>
      </c>
      <c r="B47" t="inlineStr">
        <is>
          <t>WB-Кондиционер-Авто</t>
        </is>
      </c>
      <c r="C47" t="inlineStr">
        <is>
          <t>ABC-LDR-027</t>
        </is>
      </c>
      <c r="D47" t="n">
        <v>6817</v>
      </c>
      <c r="E47" t="n">
        <v>95071</v>
      </c>
      <c r="F47" t="n">
        <v>3745</v>
      </c>
      <c r="G47" t="n">
        <v>230</v>
      </c>
    </row>
    <row r="48">
      <c r="A48" t="inlineStr">
        <is>
          <t>2026-04-11</t>
        </is>
      </c>
      <c r="B48" t="inlineStr">
        <is>
          <t>WB-Пол-Авто</t>
        </is>
      </c>
      <c r="C48" t="inlineStr">
        <is>
          <t>ABC-CLN-042</t>
        </is>
      </c>
      <c r="D48" t="n">
        <v>13684</v>
      </c>
      <c r="E48" t="n">
        <v>145084</v>
      </c>
      <c r="F48" t="n">
        <v>5884</v>
      </c>
      <c r="G48" t="n">
        <v>400</v>
      </c>
    </row>
    <row r="49">
      <c r="A49" t="inlineStr">
        <is>
          <t>2026-04-11</t>
        </is>
      </c>
      <c r="B49" t="inlineStr">
        <is>
          <t>WB-Стирка-детский-Авто</t>
        </is>
      </c>
      <c r="C49" t="inlineStr">
        <is>
          <t>ABC-LDR-034</t>
        </is>
      </c>
      <c r="D49" t="n">
        <v>7967</v>
      </c>
      <c r="E49" t="n">
        <v>119884</v>
      </c>
      <c r="F49" t="n">
        <v>3906</v>
      </c>
      <c r="G49" t="n">
        <v>255</v>
      </c>
    </row>
    <row r="50">
      <c r="A50" t="inlineStr">
        <is>
          <t>2026-04-12</t>
        </is>
      </c>
      <c r="B50" t="inlineStr">
        <is>
          <t>WB-Кондиционер-Авто</t>
        </is>
      </c>
      <c r="C50" t="inlineStr">
        <is>
          <t>ABC-LDR-027</t>
        </is>
      </c>
      <c r="D50" t="n">
        <v>6615</v>
      </c>
      <c r="E50" t="n">
        <v>93733</v>
      </c>
      <c r="F50" t="n">
        <v>1995</v>
      </c>
      <c r="G50" t="n">
        <v>124</v>
      </c>
    </row>
    <row r="51">
      <c r="A51" t="inlineStr">
        <is>
          <t>2026-04-12</t>
        </is>
      </c>
      <c r="B51" t="inlineStr">
        <is>
          <t>WB-Кухня-Авто</t>
        </is>
      </c>
      <c r="C51" t="inlineStr">
        <is>
          <t>ABC-KIT-051</t>
        </is>
      </c>
      <c r="D51" t="n">
        <v>3398</v>
      </c>
      <c r="E51" t="n">
        <v>43262</v>
      </c>
      <c r="F51" t="n">
        <v>746</v>
      </c>
      <c r="G51" t="n">
        <v>22</v>
      </c>
    </row>
    <row r="52">
      <c r="A52" t="inlineStr">
        <is>
          <t>2026-04-12</t>
        </is>
      </c>
      <c r="B52" t="inlineStr">
        <is>
          <t>WB-Посуда-Авто</t>
        </is>
      </c>
      <c r="C52" t="inlineStr">
        <is>
          <t>ABC-DSH-018</t>
        </is>
      </c>
      <c r="D52" t="n">
        <v>8448</v>
      </c>
      <c r="E52" t="n">
        <v>144969</v>
      </c>
      <c r="F52" t="n">
        <v>4743</v>
      </c>
      <c r="G52" t="n">
        <v>258</v>
      </c>
    </row>
    <row r="53">
      <c r="A53" t="inlineStr">
        <is>
          <t>2026-04-12</t>
        </is>
      </c>
      <c r="B53" t="inlineStr">
        <is>
          <t>WB-Стёкла-Авто</t>
        </is>
      </c>
      <c r="C53" t="inlineStr">
        <is>
          <t>ABC-WND-009</t>
        </is>
      </c>
      <c r="D53" t="n">
        <v>2560</v>
      </c>
      <c r="E53" t="n">
        <v>29273</v>
      </c>
      <c r="F53" t="n">
        <v>1008</v>
      </c>
      <c r="G53" t="n">
        <v>69</v>
      </c>
    </row>
    <row r="54">
      <c r="A54" t="inlineStr">
        <is>
          <t>2026-04-12</t>
        </is>
      </c>
      <c r="B54" t="inlineStr">
        <is>
          <t>WB-Стёкла-Каталог</t>
        </is>
      </c>
      <c r="C54" t="inlineStr">
        <is>
          <t>ABC-WND-009</t>
        </is>
      </c>
      <c r="D54" t="n">
        <v>1826</v>
      </c>
      <c r="E54" t="n">
        <v>29804</v>
      </c>
      <c r="F54" t="n">
        <v>840</v>
      </c>
      <c r="G54" t="n">
        <v>48</v>
      </c>
    </row>
    <row r="55">
      <c r="A55" t="inlineStr">
        <is>
          <t>2026-04-13</t>
        </is>
      </c>
      <c r="B55" t="inlineStr">
        <is>
          <t>WB-Кондиционер-Авто</t>
        </is>
      </c>
      <c r="C55" t="inlineStr">
        <is>
          <t>ABC-LDR-027</t>
        </is>
      </c>
      <c r="D55" t="n">
        <v>6207</v>
      </c>
      <c r="E55" t="n">
        <v>60930</v>
      </c>
      <c r="F55" t="n">
        <v>2895</v>
      </c>
      <c r="G55" t="n">
        <v>166</v>
      </c>
    </row>
    <row r="56">
      <c r="A56" t="inlineStr">
        <is>
          <t>2026-04-13</t>
        </is>
      </c>
      <c r="B56" t="inlineStr">
        <is>
          <t>WB-Пол-Авто</t>
        </is>
      </c>
      <c r="C56" t="inlineStr">
        <is>
          <t>ABC-CLN-042</t>
        </is>
      </c>
      <c r="D56" t="n">
        <v>12133</v>
      </c>
      <c r="E56" t="n">
        <v>173187</v>
      </c>
      <c r="F56" t="n">
        <v>3853</v>
      </c>
      <c r="G56" t="n">
        <v>189</v>
      </c>
    </row>
    <row r="57">
      <c r="A57" t="inlineStr">
        <is>
          <t>2026-04-13</t>
        </is>
      </c>
      <c r="B57" t="inlineStr">
        <is>
          <t>WB-Стирка-детский-Авто</t>
        </is>
      </c>
      <c r="C57" t="inlineStr">
        <is>
          <t>ABC-LDR-034</t>
        </is>
      </c>
      <c r="D57" t="n">
        <v>8463</v>
      </c>
      <c r="E57" t="n">
        <v>95726</v>
      </c>
      <c r="F57" t="n">
        <v>2986</v>
      </c>
      <c r="G57" t="n">
        <v>165</v>
      </c>
    </row>
    <row r="58">
      <c r="A58" t="inlineStr">
        <is>
          <t>2026-04-14</t>
        </is>
      </c>
      <c r="B58" t="inlineStr">
        <is>
          <t>WB-Кондиционер-Авто</t>
        </is>
      </c>
      <c r="C58" t="inlineStr">
        <is>
          <t>ABC-LDR-027</t>
        </is>
      </c>
      <c r="D58" t="n">
        <v>4899</v>
      </c>
      <c r="E58" t="n">
        <v>42145</v>
      </c>
      <c r="F58" t="n">
        <v>1313</v>
      </c>
      <c r="G58" t="n">
        <v>100</v>
      </c>
    </row>
    <row r="59">
      <c r="A59" t="inlineStr">
        <is>
          <t>2026-04-14</t>
        </is>
      </c>
      <c r="B59" t="inlineStr">
        <is>
          <t>WB-Кухня-Авто</t>
        </is>
      </c>
      <c r="C59" t="inlineStr">
        <is>
          <t>ABC-KIT-051</t>
        </is>
      </c>
      <c r="D59" t="n">
        <v>4072</v>
      </c>
      <c r="E59" t="n">
        <v>49764</v>
      </c>
      <c r="F59" t="n">
        <v>2128</v>
      </c>
      <c r="G59" t="n">
        <v>80</v>
      </c>
    </row>
    <row r="60">
      <c r="A60" t="inlineStr">
        <is>
          <t>2026-04-14</t>
        </is>
      </c>
      <c r="B60" t="inlineStr">
        <is>
          <t>WB-Пол-Авто</t>
        </is>
      </c>
      <c r="C60" t="inlineStr">
        <is>
          <t>ABC-CLN-042</t>
        </is>
      </c>
      <c r="D60" t="n">
        <v>15318</v>
      </c>
      <c r="E60" t="n">
        <v>273482</v>
      </c>
      <c r="F60" t="n">
        <v>9444</v>
      </c>
      <c r="G60" t="n">
        <v>440</v>
      </c>
    </row>
    <row r="61">
      <c r="A61" t="inlineStr">
        <is>
          <t>2026-04-14</t>
        </is>
      </c>
      <c r="B61" t="inlineStr">
        <is>
          <t>WB-Стёкла-Авто</t>
        </is>
      </c>
      <c r="C61" t="inlineStr">
        <is>
          <t>ABC-WND-009</t>
        </is>
      </c>
      <c r="D61" t="n">
        <v>2204</v>
      </c>
      <c r="E61" t="n">
        <v>20754</v>
      </c>
      <c r="F61" t="n">
        <v>596</v>
      </c>
      <c r="G61" t="n">
        <v>42</v>
      </c>
    </row>
    <row r="62">
      <c r="A62" t="inlineStr">
        <is>
          <t>2026-04-14</t>
        </is>
      </c>
      <c r="B62" t="inlineStr">
        <is>
          <t>WB-Стёкла-Каталог</t>
        </is>
      </c>
      <c r="C62" t="inlineStr">
        <is>
          <t>ABC-WND-009</t>
        </is>
      </c>
      <c r="D62" t="n">
        <v>2627</v>
      </c>
      <c r="E62" t="n">
        <v>23844</v>
      </c>
      <c r="F62" t="n">
        <v>386</v>
      </c>
      <c r="G62" t="n">
        <v>29</v>
      </c>
    </row>
    <row r="63">
      <c r="A63" t="inlineStr">
        <is>
          <t>2026-04-15</t>
        </is>
      </c>
      <c r="B63" t="inlineStr">
        <is>
          <t>WB-Кондиционер-Авто</t>
        </is>
      </c>
      <c r="C63" t="inlineStr">
        <is>
          <t>ABC-LDR-027</t>
        </is>
      </c>
      <c r="D63" t="n">
        <v>4554</v>
      </c>
      <c r="E63" t="n">
        <v>64869</v>
      </c>
      <c r="F63" t="n">
        <v>2661</v>
      </c>
      <c r="G63" t="n">
        <v>143</v>
      </c>
    </row>
    <row r="64">
      <c r="A64" t="inlineStr">
        <is>
          <t>2026-04-15</t>
        </is>
      </c>
      <c r="B64" t="inlineStr">
        <is>
          <t>WB-Кухня-Авто</t>
        </is>
      </c>
      <c r="C64" t="inlineStr">
        <is>
          <t>ABC-KIT-051</t>
        </is>
      </c>
      <c r="D64" t="n">
        <v>3601</v>
      </c>
      <c r="E64" t="n">
        <v>49133</v>
      </c>
      <c r="F64" t="n">
        <v>757</v>
      </c>
      <c r="G64" t="n">
        <v>39</v>
      </c>
    </row>
    <row r="65">
      <c r="A65" t="inlineStr">
        <is>
          <t>2026-04-15</t>
        </is>
      </c>
      <c r="B65" t="inlineStr">
        <is>
          <t>WB-Пол-Авто</t>
        </is>
      </c>
      <c r="C65" t="inlineStr">
        <is>
          <t>ABC-CLN-042</t>
        </is>
      </c>
      <c r="D65" t="n">
        <v>15486</v>
      </c>
      <c r="E65" t="n">
        <v>208595</v>
      </c>
      <c r="F65" t="n">
        <v>9001</v>
      </c>
      <c r="G65" t="n">
        <v>225</v>
      </c>
    </row>
    <row r="66">
      <c r="A66" t="inlineStr">
        <is>
          <t>2026-04-16</t>
        </is>
      </c>
      <c r="B66" t="inlineStr">
        <is>
          <t>WB-Кухня-Авто</t>
        </is>
      </c>
      <c r="C66" t="inlineStr">
        <is>
          <t>ABC-KIT-051</t>
        </is>
      </c>
      <c r="D66" t="n">
        <v>5343</v>
      </c>
      <c r="E66" t="n">
        <v>67910</v>
      </c>
      <c r="F66" t="n">
        <v>3308</v>
      </c>
      <c r="G66" t="n">
        <v>132</v>
      </c>
    </row>
    <row r="67">
      <c r="A67" t="inlineStr">
        <is>
          <t>2026-04-16</t>
        </is>
      </c>
      <c r="B67" t="inlineStr">
        <is>
          <t>WB-Посуда-Авто</t>
        </is>
      </c>
      <c r="C67" t="inlineStr">
        <is>
          <t>ABC-DSH-018</t>
        </is>
      </c>
      <c r="D67" t="n">
        <v>7604</v>
      </c>
      <c r="E67" t="n">
        <v>129322</v>
      </c>
      <c r="F67" t="n">
        <v>5550</v>
      </c>
      <c r="G67" t="n">
        <v>284</v>
      </c>
    </row>
    <row r="68">
      <c r="A68" t="inlineStr">
        <is>
          <t>2026-04-16</t>
        </is>
      </c>
      <c r="B68" t="inlineStr">
        <is>
          <t>WB-Стирка-детский-Авто</t>
        </is>
      </c>
      <c r="C68" t="inlineStr">
        <is>
          <t>ABC-LDR-034</t>
        </is>
      </c>
      <c r="D68" t="n">
        <v>10910</v>
      </c>
      <c r="E68" t="n">
        <v>189801</v>
      </c>
      <c r="F68" t="n">
        <v>9339</v>
      </c>
      <c r="G68" t="n">
        <v>544</v>
      </c>
    </row>
    <row r="69">
      <c r="A69" t="inlineStr">
        <is>
          <t>2026-04-17</t>
        </is>
      </c>
      <c r="B69" t="inlineStr">
        <is>
          <t>WB-Кондиционер-Авто</t>
        </is>
      </c>
      <c r="C69" t="inlineStr">
        <is>
          <t>ABC-LDR-027</t>
        </is>
      </c>
      <c r="D69" t="n">
        <v>2978</v>
      </c>
      <c r="E69" t="n">
        <v>38694</v>
      </c>
      <c r="F69" t="n">
        <v>1197</v>
      </c>
      <c r="G69" t="n">
        <v>51</v>
      </c>
    </row>
    <row r="70">
      <c r="A70" t="inlineStr">
        <is>
          <t>2026-04-17</t>
        </is>
      </c>
      <c r="B70" t="inlineStr">
        <is>
          <t>WB-Пол-Авто</t>
        </is>
      </c>
      <c r="C70" t="inlineStr">
        <is>
          <t>ABC-CLN-042</t>
        </is>
      </c>
      <c r="D70" t="n">
        <v>9086</v>
      </c>
      <c r="E70" t="n">
        <v>146526</v>
      </c>
      <c r="F70" t="n">
        <v>5002</v>
      </c>
      <c r="G70" t="n">
        <v>335</v>
      </c>
    </row>
    <row r="71">
      <c r="A71" t="inlineStr">
        <is>
          <t>2026-04-17</t>
        </is>
      </c>
      <c r="B71" t="inlineStr">
        <is>
          <t>WB-Посуда-Авто</t>
        </is>
      </c>
      <c r="C71" t="inlineStr">
        <is>
          <t>ABC-DSH-018</t>
        </is>
      </c>
      <c r="D71" t="n">
        <v>6943</v>
      </c>
      <c r="E71" t="n">
        <v>85818</v>
      </c>
      <c r="F71" t="n">
        <v>2528</v>
      </c>
      <c r="G71" t="n">
        <v>125</v>
      </c>
    </row>
    <row r="72">
      <c r="A72" t="inlineStr">
        <is>
          <t>2026-04-17</t>
        </is>
      </c>
      <c r="B72" t="inlineStr">
        <is>
          <t>WB-Стёкла-Авто</t>
        </is>
      </c>
      <c r="C72" t="inlineStr">
        <is>
          <t>ABC-WND-009</t>
        </is>
      </c>
      <c r="D72" t="n">
        <v>2713</v>
      </c>
      <c r="E72" t="n">
        <v>30934</v>
      </c>
      <c r="F72" t="n">
        <v>1198</v>
      </c>
      <c r="G72" t="n">
        <v>78</v>
      </c>
    </row>
    <row r="73">
      <c r="A73" t="inlineStr">
        <is>
          <t>2026-04-17</t>
        </is>
      </c>
      <c r="B73" t="inlineStr">
        <is>
          <t>WB-Стёкла-Каталог</t>
        </is>
      </c>
      <c r="C73" t="inlineStr">
        <is>
          <t>ABC-WND-009</t>
        </is>
      </c>
      <c r="D73" t="n">
        <v>1297</v>
      </c>
      <c r="E73" t="n">
        <v>14932</v>
      </c>
      <c r="F73" t="n">
        <v>548</v>
      </c>
      <c r="G73" t="n">
        <v>12</v>
      </c>
    </row>
    <row r="74">
      <c r="A74" t="inlineStr">
        <is>
          <t>2026-04-18</t>
        </is>
      </c>
      <c r="B74" t="inlineStr">
        <is>
          <t>WB-Пол-Авто</t>
        </is>
      </c>
      <c r="C74" t="inlineStr">
        <is>
          <t>ABC-CLN-042</t>
        </is>
      </c>
      <c r="D74" t="n">
        <v>10606</v>
      </c>
      <c r="E74" t="n">
        <v>182262</v>
      </c>
      <c r="F74" t="n">
        <v>2946</v>
      </c>
      <c r="G74" t="n">
        <v>106</v>
      </c>
    </row>
    <row r="75">
      <c r="A75" t="inlineStr">
        <is>
          <t>2026-04-18</t>
        </is>
      </c>
      <c r="B75" t="inlineStr">
        <is>
          <t>WB-Посуда-Авто</t>
        </is>
      </c>
      <c r="C75" t="inlineStr">
        <is>
          <t>ABC-DSH-018</t>
        </is>
      </c>
      <c r="D75" t="n">
        <v>4727</v>
      </c>
      <c r="E75" t="n">
        <v>53247</v>
      </c>
      <c r="F75" t="n">
        <v>1916</v>
      </c>
      <c r="G75" t="n">
        <v>88</v>
      </c>
    </row>
    <row r="76">
      <c r="A76" t="inlineStr">
        <is>
          <t>2026-04-18</t>
        </is>
      </c>
      <c r="B76" t="inlineStr">
        <is>
          <t>WB-Стирка-детский-Авто</t>
        </is>
      </c>
      <c r="C76" t="inlineStr">
        <is>
          <t>ABC-LDR-034</t>
        </is>
      </c>
      <c r="D76" t="n">
        <v>11026</v>
      </c>
      <c r="E76" t="n">
        <v>164196</v>
      </c>
      <c r="F76" t="n">
        <v>2600</v>
      </c>
      <c r="G76" t="n">
        <v>139</v>
      </c>
    </row>
    <row r="77">
      <c r="A77" t="inlineStr">
        <is>
          <t>2026-04-18</t>
        </is>
      </c>
      <c r="B77" t="inlineStr">
        <is>
          <t>WB-Стёкла-Авто</t>
        </is>
      </c>
      <c r="C77" t="inlineStr">
        <is>
          <t>ABC-WND-009</t>
        </is>
      </c>
      <c r="D77" t="n">
        <v>2686</v>
      </c>
      <c r="E77" t="n">
        <v>34406</v>
      </c>
      <c r="F77" t="n">
        <v>906</v>
      </c>
      <c r="G77" t="n">
        <v>33</v>
      </c>
    </row>
    <row r="78">
      <c r="A78" t="inlineStr">
        <is>
          <t>2026-04-18</t>
        </is>
      </c>
      <c r="B78" t="inlineStr">
        <is>
          <t>WB-Стёкла-Каталог</t>
        </is>
      </c>
      <c r="C78" t="inlineStr">
        <is>
          <t>ABC-WND-009</t>
        </is>
      </c>
      <c r="D78" t="n">
        <v>1738</v>
      </c>
      <c r="E78" t="n">
        <v>21008</v>
      </c>
      <c r="F78" t="n">
        <v>397</v>
      </c>
      <c r="G78" t="n">
        <v>29</v>
      </c>
    </row>
    <row r="79">
      <c r="A79" t="inlineStr">
        <is>
          <t>2026-04-19</t>
        </is>
      </c>
      <c r="B79" t="inlineStr">
        <is>
          <t>WB-Кондиционер-Авто</t>
        </is>
      </c>
      <c r="C79" t="inlineStr">
        <is>
          <t>ABC-LDR-027</t>
        </is>
      </c>
      <c r="D79" t="n">
        <v>3461</v>
      </c>
      <c r="E79" t="n">
        <v>41549</v>
      </c>
      <c r="F79" t="n">
        <v>748</v>
      </c>
      <c r="G79" t="n">
        <v>34</v>
      </c>
    </row>
    <row r="80">
      <c r="A80" t="inlineStr">
        <is>
          <t>2026-04-19</t>
        </is>
      </c>
      <c r="B80" t="inlineStr">
        <is>
          <t>WB-Кухня-Авто</t>
        </is>
      </c>
      <c r="C80" t="inlineStr">
        <is>
          <t>ABC-KIT-051</t>
        </is>
      </c>
      <c r="D80" t="n">
        <v>6922</v>
      </c>
      <c r="E80" t="n">
        <v>101962</v>
      </c>
      <c r="F80" t="n">
        <v>3622</v>
      </c>
      <c r="G80" t="n">
        <v>143</v>
      </c>
    </row>
    <row r="81">
      <c r="A81" t="inlineStr">
        <is>
          <t>2026-04-19</t>
        </is>
      </c>
      <c r="B81" t="inlineStr">
        <is>
          <t>WB-Пол-Авто</t>
        </is>
      </c>
      <c r="C81" t="inlineStr">
        <is>
          <t>ABC-CLN-042</t>
        </is>
      </c>
      <c r="D81" t="n">
        <v>12473</v>
      </c>
      <c r="E81" t="n">
        <v>164265</v>
      </c>
      <c r="F81" t="n">
        <v>6340</v>
      </c>
      <c r="G81" t="n">
        <v>306</v>
      </c>
    </row>
    <row r="82">
      <c r="A82" t="inlineStr">
        <is>
          <t>2026-04-19</t>
        </is>
      </c>
      <c r="B82" t="inlineStr">
        <is>
          <t>WB-Стирка-детский-Авто</t>
        </is>
      </c>
      <c r="C82" t="inlineStr">
        <is>
          <t>ABC-LDR-034</t>
        </is>
      </c>
      <c r="D82" t="n">
        <v>12086</v>
      </c>
      <c r="E82" t="n">
        <v>131381</v>
      </c>
      <c r="F82" t="n">
        <v>5520</v>
      </c>
      <c r="G82" t="n">
        <v>290</v>
      </c>
    </row>
    <row r="83">
      <c r="A83" t="inlineStr">
        <is>
          <t>2026-04-19</t>
        </is>
      </c>
      <c r="B83" t="inlineStr">
        <is>
          <t>WB-Стёкла-Авто</t>
        </is>
      </c>
      <c r="C83" t="inlineStr">
        <is>
          <t>ABC-WND-009</t>
        </is>
      </c>
      <c r="D83" t="n">
        <v>2952</v>
      </c>
      <c r="E83" t="n">
        <v>51209</v>
      </c>
      <c r="F83" t="n">
        <v>1882</v>
      </c>
      <c r="G83" t="n">
        <v>64</v>
      </c>
    </row>
    <row r="84">
      <c r="A84" t="inlineStr">
        <is>
          <t>2026-04-19</t>
        </is>
      </c>
      <c r="B84" t="inlineStr">
        <is>
          <t>WB-Стёкла-Каталог</t>
        </is>
      </c>
      <c r="C84" t="inlineStr">
        <is>
          <t>ABC-WND-009</t>
        </is>
      </c>
      <c r="D84" t="n">
        <v>1783</v>
      </c>
      <c r="E84" t="n">
        <v>32013</v>
      </c>
      <c r="F84" t="n">
        <v>996</v>
      </c>
      <c r="G84" t="n">
        <v>66</v>
      </c>
    </row>
    <row r="85">
      <c r="A85" t="inlineStr">
        <is>
          <t>2026-04-20</t>
        </is>
      </c>
      <c r="B85" t="inlineStr">
        <is>
          <t>WB-Кухня-Авто</t>
        </is>
      </c>
      <c r="C85" t="inlineStr">
        <is>
          <t>ABC-KIT-051</t>
        </is>
      </c>
      <c r="D85" t="n">
        <v>6504</v>
      </c>
      <c r="E85" t="n">
        <v>86998</v>
      </c>
      <c r="F85" t="n">
        <v>4031</v>
      </c>
      <c r="G85" t="n">
        <v>107</v>
      </c>
    </row>
    <row r="86">
      <c r="A86" t="inlineStr">
        <is>
          <t>2026-04-20</t>
        </is>
      </c>
      <c r="B86" t="inlineStr">
        <is>
          <t>WB-Пол-Авто</t>
        </is>
      </c>
      <c r="C86" t="inlineStr">
        <is>
          <t>ABC-CLN-042</t>
        </is>
      </c>
      <c r="D86" t="n">
        <v>13044</v>
      </c>
      <c r="E86" t="n">
        <v>208505</v>
      </c>
      <c r="F86" t="n">
        <v>5426</v>
      </c>
      <c r="G86" t="n">
        <v>116</v>
      </c>
    </row>
    <row r="87">
      <c r="A87" t="inlineStr">
        <is>
          <t>2026-04-20</t>
        </is>
      </c>
      <c r="B87" t="inlineStr">
        <is>
          <t>WB-Посуда-Авто</t>
        </is>
      </c>
      <c r="C87" t="inlineStr">
        <is>
          <t>ABC-DSH-018</t>
        </is>
      </c>
      <c r="D87" t="n">
        <v>4258</v>
      </c>
      <c r="E87" t="n">
        <v>66993</v>
      </c>
      <c r="F87" t="n">
        <v>1296</v>
      </c>
      <c r="G87" t="n">
        <v>92</v>
      </c>
    </row>
    <row r="88">
      <c r="A88" t="inlineStr">
        <is>
          <t>2026-04-20</t>
        </is>
      </c>
      <c r="B88" t="inlineStr">
        <is>
          <t>WB-Стирка-детский-Авто</t>
        </is>
      </c>
      <c r="C88" t="inlineStr">
        <is>
          <t>ABC-LDR-034</t>
        </is>
      </c>
      <c r="D88" t="n">
        <v>8705</v>
      </c>
      <c r="E88" t="n">
        <v>132527</v>
      </c>
      <c r="F88" t="n">
        <v>2494</v>
      </c>
      <c r="G88" t="n">
        <v>128</v>
      </c>
    </row>
    <row r="89">
      <c r="A89" t="inlineStr">
        <is>
          <t>2026-04-21</t>
        </is>
      </c>
      <c r="B89" t="inlineStr">
        <is>
          <t>WB-Кондиционер-Авто</t>
        </is>
      </c>
      <c r="C89" t="inlineStr">
        <is>
          <t>ABC-LDR-027</t>
        </is>
      </c>
      <c r="D89" t="n">
        <v>6708</v>
      </c>
      <c r="E89" t="n">
        <v>90592</v>
      </c>
      <c r="F89" t="n">
        <v>4060</v>
      </c>
      <c r="G89" t="n">
        <v>124</v>
      </c>
    </row>
    <row r="90">
      <c r="A90" t="inlineStr">
        <is>
          <t>2026-04-21</t>
        </is>
      </c>
      <c r="B90" t="inlineStr">
        <is>
          <t>WB-Кухня-Авто</t>
        </is>
      </c>
      <c r="C90" t="inlineStr">
        <is>
          <t>ABC-KIT-051</t>
        </is>
      </c>
      <c r="D90" t="n">
        <v>4420</v>
      </c>
      <c r="E90" t="n">
        <v>37508</v>
      </c>
      <c r="F90" t="n">
        <v>850</v>
      </c>
      <c r="G90" t="n">
        <v>59</v>
      </c>
    </row>
    <row r="91">
      <c r="A91" t="inlineStr">
        <is>
          <t>2026-04-21</t>
        </is>
      </c>
      <c r="B91" t="inlineStr">
        <is>
          <t>WB-Пол-Авто</t>
        </is>
      </c>
      <c r="C91" t="inlineStr">
        <is>
          <t>ABC-CLN-042</t>
        </is>
      </c>
      <c r="D91" t="n">
        <v>8883</v>
      </c>
      <c r="E91" t="n">
        <v>101796</v>
      </c>
      <c r="F91" t="n">
        <v>5068</v>
      </c>
      <c r="G91" t="n">
        <v>393</v>
      </c>
    </row>
    <row r="92">
      <c r="A92" t="inlineStr">
        <is>
          <t>2026-04-21</t>
        </is>
      </c>
      <c r="B92" t="inlineStr">
        <is>
          <t>WB-Посуда-Авто</t>
        </is>
      </c>
      <c r="C92" t="inlineStr">
        <is>
          <t>ABC-DSH-018</t>
        </is>
      </c>
      <c r="D92" t="n">
        <v>5939</v>
      </c>
      <c r="E92" t="n">
        <v>101631</v>
      </c>
      <c r="F92" t="n">
        <v>2711</v>
      </c>
      <c r="G92" t="n">
        <v>182</v>
      </c>
    </row>
    <row r="93">
      <c r="A93" t="inlineStr">
        <is>
          <t>2026-04-21</t>
        </is>
      </c>
      <c r="B93" t="inlineStr">
        <is>
          <t>WB-Стирка-детский-Авто</t>
        </is>
      </c>
      <c r="C93" t="inlineStr">
        <is>
          <t>ABC-LDR-034</t>
        </is>
      </c>
      <c r="D93" t="n">
        <v>10289</v>
      </c>
      <c r="E93" t="n">
        <v>131423</v>
      </c>
      <c r="F93" t="n">
        <v>5395</v>
      </c>
      <c r="G93" t="n">
        <v>225</v>
      </c>
    </row>
    <row r="94">
      <c r="A94" t="inlineStr">
        <is>
          <t>2026-04-21</t>
        </is>
      </c>
      <c r="B94" t="inlineStr">
        <is>
          <t>WB-Стёкла-Авто</t>
        </is>
      </c>
      <c r="C94" t="inlineStr">
        <is>
          <t>ABC-WND-009</t>
        </is>
      </c>
      <c r="D94" t="n">
        <v>1884</v>
      </c>
      <c r="E94" t="n">
        <v>18012</v>
      </c>
      <c r="F94" t="n">
        <v>603</v>
      </c>
      <c r="G94" t="n">
        <v>16</v>
      </c>
    </row>
    <row r="95">
      <c r="A95" t="inlineStr">
        <is>
          <t>2026-04-21</t>
        </is>
      </c>
      <c r="B95" t="inlineStr">
        <is>
          <t>WB-Стёкла-Каталог</t>
        </is>
      </c>
      <c r="C95" t="inlineStr">
        <is>
          <t>ABC-WND-009</t>
        </is>
      </c>
      <c r="D95" t="n">
        <v>1548</v>
      </c>
      <c r="E95" t="n">
        <v>15135</v>
      </c>
      <c r="F95" t="n">
        <v>717</v>
      </c>
      <c r="G95" t="n">
        <v>38</v>
      </c>
    </row>
    <row r="96">
      <c r="A96" t="inlineStr">
        <is>
          <t>2026-04-22</t>
        </is>
      </c>
      <c r="B96" t="inlineStr">
        <is>
          <t>WB-Кондиционер-Авто</t>
        </is>
      </c>
      <c r="C96" t="inlineStr">
        <is>
          <t>ABC-LDR-027</t>
        </is>
      </c>
      <c r="D96" t="n">
        <v>5614</v>
      </c>
      <c r="E96" t="n">
        <v>71623</v>
      </c>
      <c r="F96" t="n">
        <v>2569</v>
      </c>
      <c r="G96" t="n">
        <v>66</v>
      </c>
    </row>
    <row r="97">
      <c r="A97" t="inlineStr">
        <is>
          <t>2026-04-22</t>
        </is>
      </c>
      <c r="B97" t="inlineStr">
        <is>
          <t>WB-Кухня-Авто</t>
        </is>
      </c>
      <c r="C97" t="inlineStr">
        <is>
          <t>ABC-KIT-051</t>
        </is>
      </c>
      <c r="D97" t="n">
        <v>5309</v>
      </c>
      <c r="E97" t="n">
        <v>74958</v>
      </c>
      <c r="F97" t="n">
        <v>1216</v>
      </c>
      <c r="G97" t="n">
        <v>65</v>
      </c>
    </row>
    <row r="98">
      <c r="A98" t="inlineStr">
        <is>
          <t>2026-04-22</t>
        </is>
      </c>
      <c r="B98" t="inlineStr">
        <is>
          <t>WB-Пол-Авто</t>
        </is>
      </c>
      <c r="C98" t="inlineStr">
        <is>
          <t>ABC-CLN-042</t>
        </is>
      </c>
      <c r="D98" t="n">
        <v>12898</v>
      </c>
      <c r="E98" t="n">
        <v>125972</v>
      </c>
      <c r="F98" t="n">
        <v>5950</v>
      </c>
      <c r="G98" t="n">
        <v>165</v>
      </c>
    </row>
    <row r="99">
      <c r="A99" t="inlineStr">
        <is>
          <t>2026-04-22</t>
        </is>
      </c>
      <c r="B99" t="inlineStr">
        <is>
          <t>WB-Посуда-Авто</t>
        </is>
      </c>
      <c r="C99" t="inlineStr">
        <is>
          <t>ABC-DSH-018</t>
        </is>
      </c>
      <c r="D99" t="n">
        <v>4690</v>
      </c>
      <c r="E99" t="n">
        <v>75660</v>
      </c>
      <c r="F99" t="n">
        <v>2217</v>
      </c>
      <c r="G99" t="n">
        <v>143</v>
      </c>
    </row>
    <row r="100">
      <c r="A100" t="inlineStr">
        <is>
          <t>2026-04-22</t>
        </is>
      </c>
      <c r="B100" t="inlineStr">
        <is>
          <t>WB-Стирка-детский-Авто</t>
        </is>
      </c>
      <c r="C100" t="inlineStr">
        <is>
          <t>ABC-LDR-034</t>
        </is>
      </c>
      <c r="D100" t="n">
        <v>8152</v>
      </c>
      <c r="E100" t="n">
        <v>127985</v>
      </c>
      <c r="F100" t="n">
        <v>5934</v>
      </c>
      <c r="G100" t="n">
        <v>192</v>
      </c>
    </row>
    <row r="101">
      <c r="A101" t="inlineStr">
        <is>
          <t>2026-04-22</t>
        </is>
      </c>
      <c r="B101" t="inlineStr">
        <is>
          <t>WB-Стёкла-Авто</t>
        </is>
      </c>
      <c r="C101" t="inlineStr">
        <is>
          <t>ABC-WND-009</t>
        </is>
      </c>
      <c r="D101" t="n">
        <v>2282</v>
      </c>
      <c r="E101" t="n">
        <v>30293</v>
      </c>
      <c r="F101" t="n">
        <v>1277</v>
      </c>
      <c r="G101" t="n">
        <v>74</v>
      </c>
    </row>
    <row r="102">
      <c r="A102" t="inlineStr">
        <is>
          <t>2026-04-22</t>
        </is>
      </c>
      <c r="B102" t="inlineStr">
        <is>
          <t>WB-Стёкла-Каталог</t>
        </is>
      </c>
      <c r="C102" t="inlineStr">
        <is>
          <t>ABC-WND-009</t>
        </is>
      </c>
      <c r="D102" t="n">
        <v>2399</v>
      </c>
      <c r="E102" t="n">
        <v>24133</v>
      </c>
      <c r="F102" t="n">
        <v>900</v>
      </c>
      <c r="G102" t="n">
        <v>69</v>
      </c>
    </row>
    <row r="103">
      <c r="A103" t="inlineStr">
        <is>
          <t>2026-04-23</t>
        </is>
      </c>
      <c r="B103" t="inlineStr">
        <is>
          <t>WB-Кухня-Авто</t>
        </is>
      </c>
      <c r="C103" t="inlineStr">
        <is>
          <t>ABC-KIT-051</t>
        </is>
      </c>
      <c r="D103" t="n">
        <v>3330</v>
      </c>
      <c r="E103" t="n">
        <v>56379</v>
      </c>
      <c r="F103" t="n">
        <v>1761</v>
      </c>
      <c r="G103" t="n">
        <v>45</v>
      </c>
    </row>
    <row r="104">
      <c r="A104" t="inlineStr">
        <is>
          <t>2026-04-23</t>
        </is>
      </c>
      <c r="B104" t="inlineStr">
        <is>
          <t>WB-Пол-Авто</t>
        </is>
      </c>
      <c r="C104" t="inlineStr">
        <is>
          <t>ABC-CLN-042</t>
        </is>
      </c>
      <c r="D104" t="n">
        <v>7932</v>
      </c>
      <c r="E104" t="n">
        <v>125730</v>
      </c>
      <c r="F104" t="n">
        <v>3400</v>
      </c>
      <c r="G104" t="n">
        <v>148</v>
      </c>
    </row>
    <row r="105">
      <c r="A105" t="inlineStr">
        <is>
          <t>2026-04-23</t>
        </is>
      </c>
      <c r="B105" t="inlineStr">
        <is>
          <t>WB-Посуда-Авто</t>
        </is>
      </c>
      <c r="C105" t="inlineStr">
        <is>
          <t>ABC-DSH-018</t>
        </is>
      </c>
      <c r="D105" t="n">
        <v>8384</v>
      </c>
      <c r="E105" t="n">
        <v>106895</v>
      </c>
      <c r="F105" t="n">
        <v>3536</v>
      </c>
      <c r="G105" t="n">
        <v>269</v>
      </c>
    </row>
    <row r="106">
      <c r="A106" t="inlineStr">
        <is>
          <t>2026-04-23</t>
        </is>
      </c>
      <c r="B106" t="inlineStr">
        <is>
          <t>WB-Стирка-детский-Авто</t>
        </is>
      </c>
      <c r="C106" t="inlineStr">
        <is>
          <t>ABC-LDR-034</t>
        </is>
      </c>
      <c r="D106" t="n">
        <v>10615</v>
      </c>
      <c r="E106" t="n">
        <v>188641</v>
      </c>
      <c r="F106" t="n">
        <v>3508</v>
      </c>
      <c r="G106" t="n">
        <v>240</v>
      </c>
    </row>
    <row r="107">
      <c r="A107" t="inlineStr">
        <is>
          <t>2026-04-23</t>
        </is>
      </c>
      <c r="B107" t="inlineStr">
        <is>
          <t>WB-Стёкла-Авто</t>
        </is>
      </c>
      <c r="C107" t="inlineStr">
        <is>
          <t>ABC-WND-009</t>
        </is>
      </c>
      <c r="D107" t="n">
        <v>1927</v>
      </c>
      <c r="E107" t="n">
        <v>22746</v>
      </c>
      <c r="F107" t="n">
        <v>942</v>
      </c>
      <c r="G107" t="n">
        <v>47</v>
      </c>
    </row>
    <row r="108">
      <c r="A108" t="inlineStr">
        <is>
          <t>2026-04-23</t>
        </is>
      </c>
      <c r="B108" t="inlineStr">
        <is>
          <t>WB-Стёкла-Каталог</t>
        </is>
      </c>
      <c r="C108" t="inlineStr">
        <is>
          <t>ABC-WND-009</t>
        </is>
      </c>
      <c r="D108" t="n">
        <v>2907</v>
      </c>
      <c r="E108" t="n">
        <v>49452</v>
      </c>
      <c r="F108" t="n">
        <v>1037</v>
      </c>
      <c r="G108" t="n">
        <v>75</v>
      </c>
    </row>
    <row r="109">
      <c r="A109" t="inlineStr">
        <is>
          <t>2026-04-24</t>
        </is>
      </c>
      <c r="B109" t="inlineStr">
        <is>
          <t>WB-Кондиционер-Авто</t>
        </is>
      </c>
      <c r="C109" t="inlineStr">
        <is>
          <t>ABC-LDR-027</t>
        </is>
      </c>
      <c r="D109" t="n">
        <v>5056</v>
      </c>
      <c r="E109" t="n">
        <v>57001</v>
      </c>
      <c r="F109" t="n">
        <v>2349</v>
      </c>
      <c r="G109" t="n">
        <v>75</v>
      </c>
    </row>
    <row r="110">
      <c r="A110" t="inlineStr">
        <is>
          <t>2026-04-24</t>
        </is>
      </c>
      <c r="B110" t="inlineStr">
        <is>
          <t>WB-Кухня-Авто</t>
        </is>
      </c>
      <c r="C110" t="inlineStr">
        <is>
          <t>ABC-KIT-051</t>
        </is>
      </c>
      <c r="D110" t="n">
        <v>4280</v>
      </c>
      <c r="E110" t="n">
        <v>63135</v>
      </c>
      <c r="F110" t="n">
        <v>2352</v>
      </c>
      <c r="G110" t="n">
        <v>103</v>
      </c>
    </row>
    <row r="111">
      <c r="A111" t="inlineStr">
        <is>
          <t>2026-04-24</t>
        </is>
      </c>
      <c r="B111" t="inlineStr">
        <is>
          <t>WB-Пол-Авто</t>
        </is>
      </c>
      <c r="C111" t="inlineStr">
        <is>
          <t>ABC-CLN-042</t>
        </is>
      </c>
      <c r="D111" t="n">
        <v>9096</v>
      </c>
      <c r="E111" t="n">
        <v>72809</v>
      </c>
      <c r="F111" t="n">
        <v>1404</v>
      </c>
      <c r="G111" t="n">
        <v>34</v>
      </c>
    </row>
    <row r="112">
      <c r="A112" t="inlineStr">
        <is>
          <t>2026-04-24</t>
        </is>
      </c>
      <c r="B112" t="inlineStr">
        <is>
          <t>WB-Посуда-Авто</t>
        </is>
      </c>
      <c r="C112" t="inlineStr">
        <is>
          <t>ABC-DSH-018</t>
        </is>
      </c>
      <c r="D112" t="n">
        <v>4900</v>
      </c>
      <c r="E112" t="n">
        <v>69940</v>
      </c>
      <c r="F112" t="n">
        <v>2371</v>
      </c>
      <c r="G112" t="n">
        <v>94</v>
      </c>
    </row>
    <row r="113">
      <c r="A113" t="inlineStr">
        <is>
          <t>2026-04-25</t>
        </is>
      </c>
      <c r="B113" t="inlineStr">
        <is>
          <t>WB-Кондиционер-Авто</t>
        </is>
      </c>
      <c r="C113" t="inlineStr">
        <is>
          <t>ABC-LDR-027</t>
        </is>
      </c>
      <c r="D113" t="n">
        <v>4551</v>
      </c>
      <c r="E113" t="n">
        <v>39803</v>
      </c>
      <c r="F113" t="n">
        <v>1918</v>
      </c>
      <c r="G113" t="n">
        <v>150</v>
      </c>
    </row>
    <row r="114">
      <c r="A114" t="inlineStr">
        <is>
          <t>2026-04-26</t>
        </is>
      </c>
      <c r="B114" t="inlineStr">
        <is>
          <t>WB-Кухня-Авто</t>
        </is>
      </c>
      <c r="C114" t="inlineStr">
        <is>
          <t>ABC-KIT-051</t>
        </is>
      </c>
      <c r="D114" t="n">
        <v>4574</v>
      </c>
      <c r="E114" t="n">
        <v>77148</v>
      </c>
      <c r="F114" t="n">
        <v>1978</v>
      </c>
      <c r="G114" t="n">
        <v>124</v>
      </c>
    </row>
    <row r="115">
      <c r="A115" t="inlineStr">
        <is>
          <t>2026-04-26</t>
        </is>
      </c>
      <c r="B115" t="inlineStr">
        <is>
          <t>WB-Стирка-детский-Авто</t>
        </is>
      </c>
      <c r="C115" t="inlineStr">
        <is>
          <t>ABC-LDR-034</t>
        </is>
      </c>
      <c r="D115" t="n">
        <v>8869</v>
      </c>
      <c r="E115" t="n">
        <v>100464</v>
      </c>
      <c r="F115" t="n">
        <v>4447</v>
      </c>
      <c r="G115" t="n">
        <v>316</v>
      </c>
    </row>
    <row r="116">
      <c r="A116" t="inlineStr">
        <is>
          <t>2026-04-26</t>
        </is>
      </c>
      <c r="B116" t="inlineStr">
        <is>
          <t>WB-Стёкла-Авто</t>
        </is>
      </c>
      <c r="C116" t="inlineStr">
        <is>
          <t>ABC-WND-009</t>
        </is>
      </c>
      <c r="D116" t="n">
        <v>1991</v>
      </c>
      <c r="E116" t="n">
        <v>30426</v>
      </c>
      <c r="F116" t="n">
        <v>514</v>
      </c>
      <c r="G116" t="n">
        <v>20</v>
      </c>
    </row>
    <row r="117">
      <c r="A117" t="inlineStr">
        <is>
          <t>2026-04-26</t>
        </is>
      </c>
      <c r="B117" t="inlineStr">
        <is>
          <t>WB-Стёкла-Каталог</t>
        </is>
      </c>
      <c r="C117" t="inlineStr">
        <is>
          <t>ABC-WND-009</t>
        </is>
      </c>
      <c r="D117" t="n">
        <v>2872</v>
      </c>
      <c r="E117" t="n">
        <v>25120</v>
      </c>
      <c r="F117" t="n">
        <v>461</v>
      </c>
      <c r="G117" t="n">
        <v>33</v>
      </c>
    </row>
    <row r="118">
      <c r="A118" t="inlineStr">
        <is>
          <t>2026-04-27</t>
        </is>
      </c>
      <c r="B118" t="inlineStr">
        <is>
          <t>WB-Кухня-Авто</t>
        </is>
      </c>
      <c r="C118" t="inlineStr">
        <is>
          <t>ABC-KIT-051</t>
        </is>
      </c>
      <c r="D118" t="n">
        <v>3342</v>
      </c>
      <c r="E118" t="n">
        <v>57376</v>
      </c>
      <c r="F118" t="n">
        <v>1791</v>
      </c>
      <c r="G118" t="n">
        <v>114</v>
      </c>
    </row>
    <row r="119">
      <c r="A119" t="inlineStr">
        <is>
          <t>2026-04-27</t>
        </is>
      </c>
      <c r="B119" t="inlineStr">
        <is>
          <t>WB-Пол-Авто</t>
        </is>
      </c>
      <c r="C119" t="inlineStr">
        <is>
          <t>ABC-CLN-042</t>
        </is>
      </c>
      <c r="D119" t="n">
        <v>6895</v>
      </c>
      <c r="E119" t="n">
        <v>58036</v>
      </c>
      <c r="F119" t="n">
        <v>1239</v>
      </c>
      <c r="G119" t="n">
        <v>63</v>
      </c>
    </row>
    <row r="120">
      <c r="A120" t="inlineStr">
        <is>
          <t>2026-04-27</t>
        </is>
      </c>
      <c r="B120" t="inlineStr">
        <is>
          <t>WB-Посуда-Авто</t>
        </is>
      </c>
      <c r="C120" t="inlineStr">
        <is>
          <t>ABC-DSH-018</t>
        </is>
      </c>
      <c r="D120" t="n">
        <v>4463</v>
      </c>
      <c r="E120" t="n">
        <v>43015</v>
      </c>
      <c r="F120" t="n">
        <v>1080</v>
      </c>
      <c r="G120" t="n">
        <v>25</v>
      </c>
    </row>
    <row r="121">
      <c r="A121" t="inlineStr">
        <is>
          <t>2026-04-27</t>
        </is>
      </c>
      <c r="B121" t="inlineStr">
        <is>
          <t>WB-Стирка-детский-Авто</t>
        </is>
      </c>
      <c r="C121" t="inlineStr">
        <is>
          <t>ABC-LDR-034</t>
        </is>
      </c>
      <c r="D121" t="n">
        <v>3205</v>
      </c>
      <c r="E121" t="n">
        <v>107405</v>
      </c>
      <c r="F121" t="n">
        <v>3951</v>
      </c>
      <c r="G121" t="n">
        <v>180</v>
      </c>
    </row>
    <row r="122">
      <c r="A122" t="inlineStr">
        <is>
          <t>2026-04-27</t>
        </is>
      </c>
      <c r="B122" t="inlineStr">
        <is>
          <t>WB-Стёкла-Авто</t>
        </is>
      </c>
      <c r="C122" t="inlineStr">
        <is>
          <t>ABC-WND-009</t>
        </is>
      </c>
      <c r="D122" t="n">
        <v>2714</v>
      </c>
      <c r="E122" t="n">
        <v>48453</v>
      </c>
      <c r="F122" t="n">
        <v>1710</v>
      </c>
      <c r="G122" t="n">
        <v>131</v>
      </c>
    </row>
    <row r="123">
      <c r="A123" t="inlineStr">
        <is>
          <t>2026-04-27</t>
        </is>
      </c>
      <c r="B123" t="inlineStr">
        <is>
          <t>WB-Стёкла-Каталог</t>
        </is>
      </c>
      <c r="C123" t="inlineStr">
        <is>
          <t>ABC-WND-009</t>
        </is>
      </c>
      <c r="D123" t="n">
        <v>1768</v>
      </c>
      <c r="E123" t="n">
        <v>21030</v>
      </c>
      <c r="F123" t="n">
        <v>397</v>
      </c>
      <c r="G123" t="n">
        <v>21</v>
      </c>
    </row>
    <row r="124">
      <c r="A124" t="inlineStr">
        <is>
          <t>2026-04-28</t>
        </is>
      </c>
      <c r="B124" t="inlineStr">
        <is>
          <t>WB-Кондиционер-Авто</t>
        </is>
      </c>
      <c r="C124" t="inlineStr">
        <is>
          <t>ABC-LDR-027</t>
        </is>
      </c>
      <c r="D124" t="n">
        <v>4297</v>
      </c>
      <c r="E124" t="n">
        <v>62277</v>
      </c>
      <c r="F124" t="n">
        <v>1485</v>
      </c>
      <c r="G124" t="n">
        <v>100</v>
      </c>
    </row>
    <row r="125">
      <c r="A125" t="inlineStr">
        <is>
          <t>2026-04-28</t>
        </is>
      </c>
      <c r="B125" t="inlineStr">
        <is>
          <t>WB-Кухня-Авто</t>
        </is>
      </c>
      <c r="C125" t="inlineStr">
        <is>
          <t>ABC-KIT-051</t>
        </is>
      </c>
      <c r="D125" t="n">
        <v>4511</v>
      </c>
      <c r="E125" t="n">
        <v>40145</v>
      </c>
      <c r="F125" t="n">
        <v>1801</v>
      </c>
      <c r="G125" t="n">
        <v>138</v>
      </c>
    </row>
    <row r="126">
      <c r="A126" t="inlineStr">
        <is>
          <t>2026-04-28</t>
        </is>
      </c>
      <c r="B126" t="inlineStr">
        <is>
          <t>WB-Посуда-Авто</t>
        </is>
      </c>
      <c r="C126" t="inlineStr">
        <is>
          <t>ABC-DSH-018</t>
        </is>
      </c>
      <c r="D126" t="n">
        <v>7943</v>
      </c>
      <c r="E126" t="n">
        <v>111570</v>
      </c>
      <c r="F126" t="n">
        <v>1846</v>
      </c>
      <c r="G126" t="n">
        <v>105</v>
      </c>
    </row>
    <row r="127">
      <c r="A127" t="inlineStr">
        <is>
          <t>2026-04-29</t>
        </is>
      </c>
      <c r="B127" t="inlineStr">
        <is>
          <t>WB-Кондиционер-Авто</t>
        </is>
      </c>
      <c r="C127" t="inlineStr">
        <is>
          <t>ABC-LDR-027</t>
        </is>
      </c>
      <c r="D127" t="n">
        <v>6299</v>
      </c>
      <c r="E127" t="n">
        <v>59170</v>
      </c>
      <c r="F127" t="n">
        <v>1705</v>
      </c>
      <c r="G127" t="n">
        <v>136</v>
      </c>
    </row>
    <row r="128">
      <c r="A128" t="inlineStr">
        <is>
          <t>2026-04-29</t>
        </is>
      </c>
      <c r="B128" t="inlineStr">
        <is>
          <t>WB-Кухня-Авто</t>
        </is>
      </c>
      <c r="C128" t="inlineStr">
        <is>
          <t>ABC-KIT-051</t>
        </is>
      </c>
      <c r="D128" t="n">
        <v>14613</v>
      </c>
      <c r="E128" t="n">
        <v>42046</v>
      </c>
      <c r="F128" t="n">
        <v>1186</v>
      </c>
      <c r="G128" t="n">
        <v>36</v>
      </c>
    </row>
    <row r="129">
      <c r="A129" t="inlineStr">
        <is>
          <t>2026-04-29</t>
        </is>
      </c>
      <c r="B129" t="inlineStr">
        <is>
          <t>WB-Пол-Авто</t>
        </is>
      </c>
      <c r="C129" t="inlineStr">
        <is>
          <t>ABC-CLN-042</t>
        </is>
      </c>
      <c r="D129" t="n">
        <v>10867</v>
      </c>
      <c r="E129" t="n">
        <v>175738</v>
      </c>
      <c r="F129" t="n">
        <v>7629</v>
      </c>
      <c r="G129" t="n">
        <v>394</v>
      </c>
    </row>
    <row r="130">
      <c r="A130" t="inlineStr">
        <is>
          <t>2026-04-29</t>
        </is>
      </c>
      <c r="B130" t="inlineStr">
        <is>
          <t>WB-Посуда-Авто</t>
        </is>
      </c>
      <c r="C130" t="inlineStr">
        <is>
          <t>ABC-DSH-018</t>
        </is>
      </c>
      <c r="D130" t="n">
        <v>7101</v>
      </c>
      <c r="E130" t="n">
        <v>74999</v>
      </c>
      <c r="F130" t="n">
        <v>3496</v>
      </c>
      <c r="G130" t="n">
        <v>186</v>
      </c>
    </row>
    <row r="131">
      <c r="A131" t="inlineStr">
        <is>
          <t>2026-04-29</t>
        </is>
      </c>
      <c r="B131" t="inlineStr">
        <is>
          <t>WB-Стёкла-Авто</t>
        </is>
      </c>
      <c r="C131" t="inlineStr">
        <is>
          <t>ABC-WND-009</t>
        </is>
      </c>
      <c r="D131" t="n">
        <v>1502</v>
      </c>
      <c r="E131" t="n">
        <v>17607</v>
      </c>
      <c r="F131" t="n">
        <v>593</v>
      </c>
      <c r="G131" t="n">
        <v>22</v>
      </c>
    </row>
    <row r="132">
      <c r="A132" t="inlineStr">
        <is>
          <t>2026-04-29</t>
        </is>
      </c>
      <c r="B132" t="inlineStr">
        <is>
          <t>WB-Стёкла-Каталог</t>
        </is>
      </c>
      <c r="C132" t="inlineStr">
        <is>
          <t>ABC-WND-009</t>
        </is>
      </c>
      <c r="D132" t="n">
        <v>2967</v>
      </c>
      <c r="E132" t="n">
        <v>43821</v>
      </c>
      <c r="F132" t="n">
        <v>1655</v>
      </c>
      <c r="G132" t="n">
        <v>90</v>
      </c>
    </row>
    <row r="133">
      <c r="A133" t="inlineStr">
        <is>
          <t>2026-04-30</t>
        </is>
      </c>
      <c r="B133" t="inlineStr">
        <is>
          <t>WB-Посуда-Авто</t>
        </is>
      </c>
      <c r="C133" t="inlineStr">
        <is>
          <t>ABC-DSH-018</t>
        </is>
      </c>
      <c r="D133" t="n">
        <v>9113</v>
      </c>
      <c r="E133" t="n">
        <v>65558</v>
      </c>
      <c r="F133" t="n">
        <v>1448</v>
      </c>
      <c r="G133" t="n">
        <v>68</v>
      </c>
    </row>
    <row r="134">
      <c r="A134" t="inlineStr">
        <is>
          <t>2026-04-30</t>
        </is>
      </c>
      <c r="B134" t="inlineStr">
        <is>
          <t>WB-Стёкла-Авто</t>
        </is>
      </c>
      <c r="C134" t="inlineStr">
        <is>
          <t>ABC-WND-009</t>
        </is>
      </c>
      <c r="D134" t="n">
        <v>2608</v>
      </c>
      <c r="E134" t="n">
        <v>36989</v>
      </c>
      <c r="F134" t="n">
        <v>938</v>
      </c>
      <c r="G134" t="n">
        <v>62</v>
      </c>
    </row>
    <row r="135">
      <c r="A135" t="inlineStr">
        <is>
          <t>2026-04-30</t>
        </is>
      </c>
      <c r="B135" t="inlineStr">
        <is>
          <t>WB-Стёкла-Каталог</t>
        </is>
      </c>
      <c r="C135" t="inlineStr">
        <is>
          <t>ABC-WND-009</t>
        </is>
      </c>
      <c r="D135" t="n">
        <v>-1265</v>
      </c>
      <c r="E135" t="n">
        <v>43549</v>
      </c>
      <c r="F135" t="n">
        <v>876</v>
      </c>
      <c r="G135" t="n">
        <v>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 Ozon</t>
        </is>
      </c>
      <c r="D1" s="1" t="inlineStr">
        <is>
          <t>Комиссия, %</t>
        </is>
      </c>
      <c r="E1" s="1" t="inlineStr">
        <is>
          <t>Логистика, ₽/шт</t>
        </is>
      </c>
    </row>
    <row r="2">
      <c r="A2" t="inlineStr">
        <is>
          <t>ABC-CLN-042</t>
        </is>
      </c>
      <c r="B2" t="inlineStr">
        <is>
          <t>Средство для пола 1л</t>
        </is>
      </c>
      <c r="C2" t="inlineStr">
        <is>
          <t>Бытхимия</t>
        </is>
      </c>
      <c r="D2" t="n">
        <v>0.27</v>
      </c>
      <c r="E2" t="n">
        <v>35</v>
      </c>
    </row>
    <row r="3">
      <c r="A3" t="inlineStr">
        <is>
          <t>ABC-LDR-034</t>
        </is>
      </c>
      <c r="B3" t="inlineStr">
        <is>
          <t>Детский гель для стирки 1.5л</t>
        </is>
      </c>
      <c r="C3" t="inlineStr">
        <is>
          <t>Бытхимия</t>
        </is>
      </c>
      <c r="D3" t="n">
        <v>0.27</v>
      </c>
      <c r="E3" t="n">
        <v>60</v>
      </c>
    </row>
    <row r="4">
      <c r="A4" t="inlineStr">
        <is>
          <t>ABC-LDR-027</t>
        </is>
      </c>
      <c r="B4" t="inlineStr">
        <is>
          <t>Кондиционер для белья 1л</t>
        </is>
      </c>
      <c r="C4" t="inlineStr">
        <is>
          <t>Бытхимия</t>
        </is>
      </c>
      <c r="D4" t="n">
        <v>0.27</v>
      </c>
      <c r="E4" t="n">
        <v>40</v>
      </c>
    </row>
    <row r="5">
      <c r="A5" t="inlineStr">
        <is>
          <t>ABC-DSH-018</t>
        </is>
      </c>
      <c r="B5" t="inlineStr">
        <is>
          <t>Средство для посуды 500мл</t>
        </is>
      </c>
      <c r="C5" t="inlineStr">
        <is>
          <t>Посуда</t>
        </is>
      </c>
      <c r="D5" t="n">
        <v>0.27</v>
      </c>
      <c r="E5" t="n">
        <v>25</v>
      </c>
    </row>
    <row r="6">
      <c r="A6" t="inlineStr">
        <is>
          <t>ABC-KIT-051</t>
        </is>
      </c>
      <c r="B6" t="inlineStr">
        <is>
          <t>Чистящий крем кухня 750мл</t>
        </is>
      </c>
      <c r="C6" t="inlineStr">
        <is>
          <t>Посуда</t>
        </is>
      </c>
      <c r="D6" t="n">
        <v>0.27</v>
      </c>
      <c r="E6" t="n">
        <v>35</v>
      </c>
    </row>
    <row r="7">
      <c r="A7" t="inlineStr">
        <is>
          <t>ABC-WND-009</t>
        </is>
      </c>
      <c r="B7" t="inlineStr">
        <is>
          <t>Очиститель стёкол 500мл</t>
        </is>
      </c>
      <c r="C7" t="inlineStr">
        <is>
          <t>Стёкла</t>
        </is>
      </c>
      <c r="D7" t="n">
        <v>0.27</v>
      </c>
      <c r="E7" t="n">
        <v>35</v>
      </c>
    </row>
    <row r="8"/>
    <row r="9"/>
    <row r="10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6" customWidth="1" min="4" max="4"/>
    <col width="17" customWidth="1" min="5" max="5"/>
  </cols>
  <sheetData>
    <row r="1">
      <c r="A1" s="1" t="inlineStr">
        <is>
          <t>SKU</t>
        </is>
      </c>
      <c r="B1" s="1" t="inlineStr">
        <is>
          <t>Наименование</t>
        </is>
      </c>
      <c r="C1" s="1" t="inlineStr">
        <is>
          <t>Категория WB</t>
        </is>
      </c>
      <c r="D1" s="1" t="inlineStr">
        <is>
          <t>Комиссия, %</t>
        </is>
      </c>
      <c r="E1" s="1" t="inlineStr">
        <is>
          <t>Логистика, ₽/шт</t>
        </is>
      </c>
    </row>
    <row r="2">
      <c r="A2" t="inlineStr">
        <is>
          <t>ABC-CLN-042</t>
        </is>
      </c>
      <c r="B2" t="inlineStr">
        <is>
          <t>Средство для пола 1л</t>
        </is>
      </c>
      <c r="C2" t="inlineStr">
        <is>
          <t>Бытхимия</t>
        </is>
      </c>
      <c r="D2" t="n">
        <v>0.295</v>
      </c>
      <c r="E2" t="n">
        <v>47.25</v>
      </c>
    </row>
    <row r="3">
      <c r="A3" t="inlineStr">
        <is>
          <t>ABC-LDR-034</t>
        </is>
      </c>
      <c r="B3" t="inlineStr">
        <is>
          <t>Детский гель для стирки 1.5л</t>
        </is>
      </c>
      <c r="C3" t="inlineStr">
        <is>
          <t>Бытхимия</t>
        </is>
      </c>
      <c r="D3" t="n">
        <v>0.295</v>
      </c>
      <c r="E3" t="n">
        <v>81</v>
      </c>
    </row>
    <row r="4">
      <c r="A4" t="inlineStr">
        <is>
          <t>ABC-LDR-027</t>
        </is>
      </c>
      <c r="B4" t="inlineStr">
        <is>
          <t>Кондиционер для белья 1л</t>
        </is>
      </c>
      <c r="C4" t="inlineStr">
        <is>
          <t>Бытхимия</t>
        </is>
      </c>
      <c r="D4" t="n">
        <v>0.295</v>
      </c>
      <c r="E4" t="n">
        <v>54</v>
      </c>
    </row>
    <row r="5">
      <c r="A5" t="inlineStr">
        <is>
          <t>ABC-DSH-018</t>
        </is>
      </c>
      <c r="B5" t="inlineStr">
        <is>
          <t>Средство для посуды 500мл</t>
        </is>
      </c>
      <c r="C5" t="inlineStr">
        <is>
          <t>Посуда</t>
        </is>
      </c>
      <c r="D5" t="n">
        <v>0.295</v>
      </c>
      <c r="E5" t="n">
        <v>33.75</v>
      </c>
    </row>
    <row r="6">
      <c r="A6" t="inlineStr">
        <is>
          <t>ABC-KIT-051</t>
        </is>
      </c>
      <c r="B6" t="inlineStr">
        <is>
          <t>Чистящий крем кухня 750мл</t>
        </is>
      </c>
      <c r="C6" t="inlineStr">
        <is>
          <t>Посуда</t>
        </is>
      </c>
      <c r="D6" t="n">
        <v>0.295</v>
      </c>
      <c r="E6" t="n">
        <v>47.25</v>
      </c>
    </row>
    <row r="7">
      <c r="A7" t="inlineStr">
        <is>
          <t>ABC-WND-009</t>
        </is>
      </c>
      <c r="B7" t="inlineStr">
        <is>
          <t>Очиститель стёкол 500мл</t>
        </is>
      </c>
      <c r="C7" t="inlineStr">
        <is>
          <t>Стёкла</t>
        </is>
      </c>
      <c r="D7" t="n">
        <v>0.295</v>
      </c>
      <c r="E7" t="n">
        <v>47.25</v>
      </c>
    </row>
    <row r="8"/>
    <row r="9"/>
    <row r="10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Дата</t>
        </is>
      </c>
      <c r="B1" s="1" t="inlineStr">
        <is>
          <t>Номер счёта</t>
        </is>
      </c>
      <c r="C1" s="1" t="inlineStr">
        <is>
          <t>Контрагент</t>
        </is>
      </c>
      <c r="D1" s="1" t="inlineStr">
        <is>
          <t>Категория</t>
        </is>
      </c>
      <c r="E1" s="1" t="inlineStr">
        <is>
          <t>Сумма, ₽</t>
        </is>
      </c>
      <c r="F1" s="1" t="inlineStr">
        <is>
          <t>Статус</t>
        </is>
      </c>
    </row>
    <row r="2">
      <c r="A2" t="inlineStr">
        <is>
          <t>2026-04-04</t>
        </is>
      </c>
      <c r="B2" t="inlineStr">
        <is>
          <t>С-18002</t>
        </is>
      </c>
      <c r="C2" t="inlineStr">
        <is>
          <t>ООО ПромоПринт</t>
        </is>
      </c>
      <c r="D2" t="inlineStr">
        <is>
          <t>Прочее</t>
        </is>
      </c>
      <c r="E2" t="n">
        <v>15000</v>
      </c>
      <c r="F2" t="inlineStr">
        <is>
          <t>Оплачено</t>
        </is>
      </c>
    </row>
    <row r="3">
      <c r="A3" t="inlineStr">
        <is>
          <t>2026-04-05</t>
        </is>
      </c>
      <c r="B3" t="inlineStr">
        <is>
          <t>С-18009</t>
        </is>
      </c>
      <c r="C3" t="inlineStr">
        <is>
          <t>ООО Перформанс Креатив</t>
        </is>
      </c>
      <c r="D3" t="inlineStr">
        <is>
          <t>Стирка</t>
        </is>
      </c>
      <c r="E3" t="n">
        <v>70000</v>
      </c>
      <c r="F3" t="inlineStr">
        <is>
          <t>Оплачено</t>
        </is>
      </c>
    </row>
    <row r="4">
      <c r="A4" t="inlineStr">
        <is>
          <t>2026-04-07</t>
        </is>
      </c>
      <c r="B4" t="inlineStr">
        <is>
          <t>С-18006</t>
        </is>
      </c>
      <c r="C4" t="inlineStr">
        <is>
          <t>ООО ТВ-Креатив</t>
        </is>
      </c>
      <c r="D4" t="inlineStr">
        <is>
          <t>Кухня</t>
        </is>
      </c>
      <c r="E4" t="n">
        <v>60000</v>
      </c>
      <c r="F4" t="inlineStr">
        <is>
          <t>Оплачено</t>
        </is>
      </c>
    </row>
    <row r="5">
      <c r="A5" t="inlineStr">
        <is>
          <t>2026-04-08</t>
        </is>
      </c>
      <c r="B5" t="inlineStr">
        <is>
          <t>С-18003</t>
        </is>
      </c>
      <c r="C5" t="inlineStr">
        <is>
          <t>ООО Видео-Студия Окно</t>
        </is>
      </c>
      <c r="D5" t="inlineStr">
        <is>
          <t>Стирка</t>
        </is>
      </c>
      <c r="E5" t="n">
        <v>180000</v>
      </c>
      <c r="F5" t="inlineStr">
        <is>
          <t>Оплачено</t>
        </is>
      </c>
    </row>
    <row r="6">
      <c r="A6" t="inlineStr">
        <is>
          <t>2026-04-11</t>
        </is>
      </c>
      <c r="B6" t="inlineStr">
        <is>
          <t>С-18011</t>
        </is>
      </c>
      <c r="C6" t="inlineStr">
        <is>
          <t>ИП Сидоров А.И. (баннеры)</t>
        </is>
      </c>
      <c r="D6" t="inlineStr">
        <is>
          <t>Стёкла</t>
        </is>
      </c>
      <c r="E6" t="n">
        <v>50000</v>
      </c>
      <c r="F6" t="inlineStr">
        <is>
          <t>Оплачено</t>
        </is>
      </c>
    </row>
    <row r="7">
      <c r="A7" t="inlineStr">
        <is>
          <t>2026-04-14</t>
        </is>
      </c>
      <c r="B7" t="inlineStr">
        <is>
          <t>С-18007</t>
        </is>
      </c>
      <c r="C7" t="inlineStr">
        <is>
          <t>ИП Сидоров А.И. (баннеры)</t>
        </is>
      </c>
      <c r="D7" t="inlineStr">
        <is>
          <t>Посуда</t>
        </is>
      </c>
      <c r="E7" t="n">
        <v>40000</v>
      </c>
      <c r="F7" t="inlineStr">
        <is>
          <t>Оплачено</t>
        </is>
      </c>
    </row>
    <row r="8">
      <c r="A8" t="inlineStr">
        <is>
          <t>2026-04-16</t>
        </is>
      </c>
      <c r="B8" t="inlineStr">
        <is>
          <t>С-18008</t>
        </is>
      </c>
      <c r="C8" t="inlineStr">
        <is>
          <t>ИП Соколова Е.В. (соцсети)</t>
        </is>
      </c>
      <c r="D8" t="inlineStr">
        <is>
          <t>Пол</t>
        </is>
      </c>
      <c r="E8" t="n">
        <v>70000</v>
      </c>
      <c r="F8" t="inlineStr">
        <is>
          <t>Оплачено</t>
        </is>
      </c>
    </row>
    <row r="9">
      <c r="A9" t="inlineStr">
        <is>
          <t>2026-04-17</t>
        </is>
      </c>
      <c r="B9" t="inlineStr">
        <is>
          <t>С-18004</t>
        </is>
      </c>
      <c r="C9" t="inlineStr">
        <is>
          <t>ООО Видео-Студия Окно</t>
        </is>
      </c>
      <c r="D9" t="inlineStr">
        <is>
          <t>Пол</t>
        </is>
      </c>
      <c r="E9" t="n">
        <v>130000</v>
      </c>
      <c r="F9" t="inlineStr">
        <is>
          <t>Оплачено</t>
        </is>
      </c>
    </row>
    <row r="10">
      <c r="A10" t="inlineStr">
        <is>
          <t>2026-04-17</t>
        </is>
      </c>
      <c r="B10" t="inlineStr">
        <is>
          <t>С-18005</t>
        </is>
      </c>
      <c r="C10" t="inlineStr">
        <is>
          <t>ИП Иванов (продакшн)</t>
        </is>
      </c>
      <c r="D10" t="inlineStr">
        <is>
          <t>Стирка</t>
        </is>
      </c>
      <c r="E10" t="n">
        <v>100000</v>
      </c>
      <c r="F10" t="inlineStr">
        <is>
          <t>Оплачено</t>
        </is>
      </c>
    </row>
    <row r="11">
      <c r="A11" t="inlineStr">
        <is>
          <t>2026-04-18</t>
        </is>
      </c>
      <c r="B11" t="inlineStr">
        <is>
          <t>С-18010</t>
        </is>
      </c>
      <c r="C11" t="inlineStr">
        <is>
          <t>ООО Перформанс Креатив</t>
        </is>
      </c>
      <c r="D11" t="inlineStr">
        <is>
          <t>Посуда</t>
        </is>
      </c>
      <c r="E11" t="n">
        <v>60000</v>
      </c>
      <c r="F11" t="inlineStr">
        <is>
          <t>Оплачено</t>
        </is>
      </c>
    </row>
    <row r="12">
      <c r="A12" t="inlineStr">
        <is>
          <t>2026-04-26</t>
        </is>
      </c>
      <c r="B12" t="inlineStr">
        <is>
          <t>С-18001</t>
        </is>
      </c>
      <c r="C12" t="inlineStr">
        <is>
          <t>ООО Бренд-Бюро</t>
        </is>
      </c>
      <c r="D12" t="inlineStr">
        <is>
          <t>Прочее</t>
        </is>
      </c>
      <c r="E12" t="n">
        <v>25000</v>
      </c>
      <c r="F12" t="inlineStr">
        <is>
          <t>Оплачено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>
      <c r="A1" s="1" t="inlineStr">
        <is>
          <t>ФИО</t>
        </is>
      </c>
      <c r="B1" s="1" t="inlineStr">
        <is>
          <t>Должность</t>
        </is>
      </c>
      <c r="C1" s="1" t="inlineStr">
        <is>
          <t>Отдел</t>
        </is>
      </c>
      <c r="D1" s="1" t="inlineStr">
        <is>
          <t>Оклад, ₽</t>
        </is>
      </c>
      <c r="E1" s="1" t="inlineStr">
        <is>
          <t>Бонус, ₽</t>
        </is>
      </c>
      <c r="F1" s="1" t="inlineStr">
        <is>
          <t>Налоги работодателя, ₽</t>
        </is>
      </c>
      <c r="G1" s="1" t="inlineStr">
        <is>
          <t>ИТОГО ФОТ, ₽</t>
        </is>
      </c>
    </row>
    <row r="2">
      <c r="A2" t="inlineStr">
        <is>
          <t>Иванов Алексей Петрович</t>
        </is>
      </c>
      <c r="B2" t="inlineStr">
        <is>
          <t>Генеральный директор</t>
        </is>
      </c>
      <c r="C2" t="inlineStr">
        <is>
          <t>Управление</t>
        </is>
      </c>
      <c r="D2" t="n">
        <v>410000</v>
      </c>
      <c r="E2" t="n">
        <v>60000</v>
      </c>
      <c r="F2" t="n">
        <v>141940</v>
      </c>
      <c r="G2" t="n">
        <v>611940</v>
      </c>
    </row>
    <row r="3">
      <c r="A3" t="inlineStr">
        <is>
          <t>Соколова Мария Сергеевна</t>
        </is>
      </c>
      <c r="B3" t="inlineStr">
        <is>
          <t>Финансовый директор</t>
        </is>
      </c>
      <c r="C3" t="inlineStr">
        <is>
          <t>Управление</t>
        </is>
      </c>
      <c r="D3" t="n">
        <v>270000</v>
      </c>
      <c r="E3" t="n">
        <v>35000</v>
      </c>
      <c r="F3" t="n">
        <v>92110</v>
      </c>
      <c r="G3" t="n">
        <v>397110</v>
      </c>
    </row>
    <row r="4">
      <c r="A4" t="inlineStr">
        <is>
          <t>Петров Никита Андреевич</t>
        </is>
      </c>
      <c r="B4" t="inlineStr">
        <is>
          <t>Руководитель Ozon</t>
        </is>
      </c>
      <c r="C4" t="inlineStr">
        <is>
          <t>Маркетплейсы</t>
        </is>
      </c>
      <c r="D4" t="n">
        <v>170000</v>
      </c>
      <c r="E4" t="n">
        <v>35000</v>
      </c>
      <c r="F4" t="n">
        <v>61910</v>
      </c>
      <c r="G4" t="n">
        <v>266910</v>
      </c>
    </row>
    <row r="5">
      <c r="A5" t="inlineStr">
        <is>
          <t>Орлова Анна Викторовна</t>
        </is>
      </c>
      <c r="B5" t="inlineStr">
        <is>
          <t>Руководитель WB</t>
        </is>
      </c>
      <c r="C5" t="inlineStr">
        <is>
          <t>Маркетплейсы</t>
        </is>
      </c>
      <c r="D5" t="n">
        <v>150000</v>
      </c>
      <c r="E5" t="n">
        <v>25000</v>
      </c>
      <c r="F5" t="n">
        <v>52850</v>
      </c>
      <c r="G5" t="n">
        <v>227850</v>
      </c>
    </row>
    <row r="6">
      <c r="A6" t="inlineStr">
        <is>
          <t>Кузнецова Юлия Игоревна</t>
        </is>
      </c>
      <c r="B6" t="inlineStr">
        <is>
          <t>Менеджер Ozon</t>
        </is>
      </c>
      <c r="C6" t="inlineStr">
        <is>
          <t>Маркетплейсы</t>
        </is>
      </c>
      <c r="D6" t="n">
        <v>95000</v>
      </c>
      <c r="E6" t="n">
        <v>10000</v>
      </c>
      <c r="F6" t="n">
        <v>31710</v>
      </c>
      <c r="G6" t="n">
        <v>136710</v>
      </c>
    </row>
    <row r="7">
      <c r="A7" t="inlineStr">
        <is>
          <t>Лебедев Михаил Сергеевич</t>
        </is>
      </c>
      <c r="B7" t="inlineStr">
        <is>
          <t>Менеджер WB</t>
        </is>
      </c>
      <c r="C7" t="inlineStr">
        <is>
          <t>Маркетплейсы</t>
        </is>
      </c>
      <c r="D7" t="n">
        <v>85000</v>
      </c>
      <c r="E7" t="n">
        <v>10000</v>
      </c>
      <c r="F7" t="n">
        <v>28690</v>
      </c>
      <c r="G7" t="n">
        <v>123690</v>
      </c>
    </row>
    <row r="8">
      <c r="A8" t="inlineStr">
        <is>
          <t>Новиков Артур Сергеевич</t>
        </is>
      </c>
      <c r="B8" t="inlineStr">
        <is>
          <t>Менеджер по закупкам</t>
        </is>
      </c>
      <c r="C8" t="inlineStr">
        <is>
          <t>Маркетплейсы</t>
        </is>
      </c>
      <c r="D8" t="n">
        <v>95000</v>
      </c>
      <c r="E8" t="n">
        <v>10000</v>
      </c>
      <c r="F8" t="n">
        <v>31710</v>
      </c>
      <c r="G8" t="n">
        <v>136710</v>
      </c>
    </row>
    <row r="9">
      <c r="A9" t="inlineStr">
        <is>
          <t>Морозов Дмитрий Олегович</t>
        </is>
      </c>
      <c r="B9" t="inlineStr">
        <is>
          <t>Руководитель маркетинга</t>
        </is>
      </c>
      <c r="C9" t="inlineStr">
        <is>
          <t>Маркетинг</t>
        </is>
      </c>
      <c r="D9" t="n">
        <v>150000</v>
      </c>
      <c r="E9" t="n">
        <v>25000</v>
      </c>
      <c r="F9" t="n">
        <v>52850</v>
      </c>
      <c r="G9" t="n">
        <v>227850</v>
      </c>
    </row>
    <row r="10">
      <c r="A10" t="inlineStr">
        <is>
          <t>Васильева Елена Михайловна</t>
        </is>
      </c>
      <c r="B10" t="inlineStr">
        <is>
          <t>Маркетолог-аналитик</t>
        </is>
      </c>
      <c r="C10" t="inlineStr">
        <is>
          <t>Маркетинг</t>
        </is>
      </c>
      <c r="D10" t="n">
        <v>95000</v>
      </c>
      <c r="E10" t="n">
        <v>5000</v>
      </c>
      <c r="F10" t="n">
        <v>30200</v>
      </c>
      <c r="G10" t="n">
        <v>130200</v>
      </c>
    </row>
    <row r="11">
      <c r="A11" t="inlineStr">
        <is>
          <t>Сидоров Артём Иванович</t>
        </is>
      </c>
      <c r="B11" t="inlineStr">
        <is>
          <t>Дизайнер</t>
        </is>
      </c>
      <c r="C11" t="inlineStr">
        <is>
          <t>Маркетинг</t>
        </is>
      </c>
      <c r="D11" t="n">
        <v>90000</v>
      </c>
      <c r="E11" t="n">
        <v>5000</v>
      </c>
      <c r="F11" t="n">
        <v>28690</v>
      </c>
      <c r="G11" t="n">
        <v>123690</v>
      </c>
    </row>
    <row r="12">
      <c r="A12" t="inlineStr">
        <is>
          <t>Григорьева Ольга Андреевна</t>
        </is>
      </c>
      <c r="B12" t="inlineStr">
        <is>
          <t>Контент-менеджер</t>
        </is>
      </c>
      <c r="C12" t="inlineStr">
        <is>
          <t>Маркетинг</t>
        </is>
      </c>
      <c r="D12" t="n">
        <v>75000</v>
      </c>
      <c r="E12" t="n">
        <v>5000</v>
      </c>
      <c r="F12" t="n">
        <v>24160</v>
      </c>
      <c r="G12" t="n">
        <v>104160</v>
      </c>
    </row>
    <row r="13">
      <c r="A13" t="inlineStr">
        <is>
          <t>Смирнов Игорь Васильевич</t>
        </is>
      </c>
      <c r="B13" t="inlineStr">
        <is>
          <t>Начальник склада</t>
        </is>
      </c>
      <c r="C13" t="inlineStr">
        <is>
          <t>Склад</t>
        </is>
      </c>
      <c r="D13" t="n">
        <v>105000</v>
      </c>
      <c r="E13" t="n">
        <v>10000</v>
      </c>
      <c r="F13" t="n">
        <v>34730</v>
      </c>
      <c r="G13" t="n">
        <v>149730</v>
      </c>
    </row>
    <row r="14">
      <c r="A14" t="inlineStr">
        <is>
          <t>Фёдоров Иван Николаевич</t>
        </is>
      </c>
      <c r="B14" t="inlineStr">
        <is>
          <t>Упаковщик</t>
        </is>
      </c>
      <c r="C14" t="inlineStr">
        <is>
          <t>Склад</t>
        </is>
      </c>
      <c r="D14" t="n">
        <v>55000</v>
      </c>
      <c r="E14" t="n">
        <v>0</v>
      </c>
      <c r="F14" t="n">
        <v>16610</v>
      </c>
      <c r="G14" t="n">
        <v>71610</v>
      </c>
    </row>
    <row r="15">
      <c r="A15" t="inlineStr">
        <is>
          <t>Алексеева Татьяна Юрьевна</t>
        </is>
      </c>
      <c r="B15" t="inlineStr">
        <is>
          <t>Главный бухгалтер</t>
        </is>
      </c>
      <c r="C15" t="inlineStr">
        <is>
          <t>Бухгалтерия</t>
        </is>
      </c>
      <c r="D15" t="n">
        <v>130000</v>
      </c>
      <c r="E15" t="n">
        <v>15000</v>
      </c>
      <c r="F15" t="n">
        <v>43790</v>
      </c>
      <c r="G15" t="n">
        <v>188790</v>
      </c>
    </row>
    <row r="16">
      <c r="A16" t="inlineStr">
        <is>
          <t>Григорьев Павел Александрович</t>
        </is>
      </c>
      <c r="B16" t="inlineStr">
        <is>
          <t>Бухгалтер</t>
        </is>
      </c>
      <c r="C16" t="inlineStr">
        <is>
          <t>Бухгалтерия</t>
        </is>
      </c>
      <c r="D16" t="n">
        <v>75000</v>
      </c>
      <c r="E16" t="n">
        <v>5000</v>
      </c>
      <c r="F16" t="n">
        <v>24160</v>
      </c>
      <c r="G16" t="n">
        <v>104160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7" customWidth="1" min="3" max="3"/>
    <col width="25" customWidth="1" min="4" max="4"/>
    <col width="16" customWidth="1" min="5" max="5"/>
  </cols>
  <sheetData>
    <row r="1">
      <c r="A1" s="1" t="inlineStr">
        <is>
          <t>Дата</t>
        </is>
      </c>
      <c r="B1" s="1" t="inlineStr">
        <is>
          <t>Номер счёта</t>
        </is>
      </c>
      <c r="C1" s="1" t="inlineStr">
        <is>
          <t>Контрагент</t>
        </is>
      </c>
      <c r="D1" s="1" t="inlineStr">
        <is>
          <t>Статья</t>
        </is>
      </c>
      <c r="E1" s="1" t="inlineStr">
        <is>
          <t>Сумма, ₽</t>
        </is>
      </c>
    </row>
    <row r="2">
      <c r="A2" t="inlineStr">
        <is>
          <t>2026-04-01</t>
        </is>
      </c>
      <c r="B2" t="inlineStr">
        <is>
          <t>СЧ-22011</t>
        </is>
      </c>
      <c r="C2" t="inlineStr">
        <is>
          <t>ООО Связь-Москва</t>
        </is>
      </c>
      <c r="D2" t="inlineStr">
        <is>
          <t>Прочие административные</t>
        </is>
      </c>
      <c r="E2" t="n">
        <v>89540</v>
      </c>
    </row>
    <row r="3">
      <c r="A3" t="inlineStr">
        <is>
          <t>2026-04-04</t>
        </is>
      </c>
      <c r="B3" t="inlineStr">
        <is>
          <t>СЧ-22015</t>
        </is>
      </c>
      <c r="C3" t="inlineStr">
        <is>
          <t>1С: Партнёр Регион</t>
        </is>
      </c>
      <c r="D3" t="inlineStr">
        <is>
          <t>IT-услуги</t>
        </is>
      </c>
      <c r="E3" t="n">
        <v>89750</v>
      </c>
    </row>
    <row r="4">
      <c r="A4" t="inlineStr">
        <is>
          <t>2026-04-05</t>
        </is>
      </c>
      <c r="B4" t="inlineStr">
        <is>
          <t>СЧ-22014</t>
        </is>
      </c>
      <c r="C4" t="inlineStr">
        <is>
          <t>WB Партнёры подписка</t>
        </is>
      </c>
      <c r="D4" t="inlineStr">
        <is>
          <t>IT-услуги</t>
        </is>
      </c>
      <c r="E4" t="n">
        <v>30410</v>
      </c>
    </row>
    <row r="5">
      <c r="A5" t="inlineStr">
        <is>
          <t>2026-04-08</t>
        </is>
      </c>
      <c r="B5" t="inlineStr">
        <is>
          <t>СЧ-22004</t>
        </is>
      </c>
      <c r="C5" t="inlineStr">
        <is>
          <t>ООО Канцторг</t>
        </is>
      </c>
      <c r="D5" t="inlineStr">
        <is>
          <t>Прочие административные</t>
        </is>
      </c>
      <c r="E5" t="n">
        <v>49990</v>
      </c>
    </row>
    <row r="6">
      <c r="A6" t="inlineStr">
        <is>
          <t>2026-04-08</t>
        </is>
      </c>
      <c r="B6" t="inlineStr">
        <is>
          <t>СЧ-22012</t>
        </is>
      </c>
      <c r="C6" t="inlineStr">
        <is>
          <t>Командировки</t>
        </is>
      </c>
      <c r="D6" t="inlineStr">
        <is>
          <t>Прочие административные</t>
        </is>
      </c>
      <c r="E6" t="n">
        <v>109900</v>
      </c>
    </row>
    <row r="7">
      <c r="A7" t="inlineStr">
        <is>
          <t>2026-04-10</t>
        </is>
      </c>
      <c r="B7" t="inlineStr">
        <is>
          <t>СЧ-22007</t>
        </is>
      </c>
      <c r="C7" t="inlineStr">
        <is>
          <t>Сбербанк (РКО + комиссии)</t>
        </is>
      </c>
      <c r="D7" t="inlineStr">
        <is>
          <t>Прочие административные</t>
        </is>
      </c>
      <c r="E7" t="n">
        <v>179250</v>
      </c>
    </row>
    <row r="8">
      <c r="A8" t="inlineStr">
        <is>
          <t>2026-04-12</t>
        </is>
      </c>
      <c r="B8" t="inlineStr">
        <is>
          <t>СЧ-22009</t>
        </is>
      </c>
      <c r="C8" t="inlineStr">
        <is>
          <t>ИП Логистик-Партнёр</t>
        </is>
      </c>
      <c r="D8" t="inlineStr">
        <is>
          <t>Прочие услуги</t>
        </is>
      </c>
      <c r="E8" t="n">
        <v>121840</v>
      </c>
    </row>
    <row r="9">
      <c r="A9" t="inlineStr">
        <is>
          <t>2026-04-13</t>
        </is>
      </c>
      <c r="B9" t="inlineStr">
        <is>
          <t>СЧ-22010</t>
        </is>
      </c>
      <c r="C9" t="inlineStr">
        <is>
          <t>ООО ЧистоКлин</t>
        </is>
      </c>
      <c r="D9" t="inlineStr">
        <is>
          <t>Прочие услуги</t>
        </is>
      </c>
      <c r="E9" t="n">
        <v>79850</v>
      </c>
    </row>
    <row r="10">
      <c r="A10" t="inlineStr">
        <is>
          <t>2026-04-17</t>
        </is>
      </c>
      <c r="B10" t="inlineStr">
        <is>
          <t>СЧ-22003</t>
        </is>
      </c>
      <c r="C10" t="inlineStr">
        <is>
          <t>ООО Хостинг Северо-Запад</t>
        </is>
      </c>
      <c r="D10" t="inlineStr">
        <is>
          <t>IT-услуги</t>
        </is>
      </c>
      <c r="E10" t="n">
        <v>55320</v>
      </c>
    </row>
    <row r="11">
      <c r="A11" t="inlineStr">
        <is>
          <t>2026-04-18</t>
        </is>
      </c>
      <c r="B11" t="inlineStr">
        <is>
          <t>СЧ-22002</t>
        </is>
      </c>
      <c r="C11" t="inlineStr">
        <is>
          <t>Расходные материалы</t>
        </is>
      </c>
      <c r="D11" t="inlineStr">
        <is>
          <t>Прочие административные</t>
        </is>
      </c>
      <c r="E11" t="n">
        <v>71320</v>
      </c>
    </row>
    <row r="12">
      <c r="A12" t="inlineStr">
        <is>
          <t>2026-04-19</t>
        </is>
      </c>
      <c r="B12" t="inlineStr">
        <is>
          <t>СЧ-22008</t>
        </is>
      </c>
      <c r="C12" t="inlineStr">
        <is>
          <t>ООО Складские решения</t>
        </is>
      </c>
      <c r="D12" t="inlineStr">
        <is>
          <t>Аренда</t>
        </is>
      </c>
      <c r="E12" t="n">
        <v>1000000</v>
      </c>
    </row>
    <row r="13">
      <c r="A13" t="inlineStr">
        <is>
          <t>2026-04-20</t>
        </is>
      </c>
      <c r="B13" t="inlineStr">
        <is>
          <t>СЧ-22006</t>
        </is>
      </c>
      <c r="C13" t="inlineStr">
        <is>
          <t>Юристъ-консалт ИП</t>
        </is>
      </c>
      <c r="D13" t="inlineStr">
        <is>
          <t>Прочие услуги</t>
        </is>
      </c>
      <c r="E13" t="n">
        <v>119990</v>
      </c>
    </row>
    <row r="14">
      <c r="A14" t="inlineStr">
        <is>
          <t>2026-04-21</t>
        </is>
      </c>
      <c r="B14" t="inlineStr">
        <is>
          <t>СЧ-22001</t>
        </is>
      </c>
      <c r="C14" t="inlineStr">
        <is>
          <t>Ozon Pro подписка</t>
        </is>
      </c>
      <c r="D14" t="inlineStr">
        <is>
          <t>IT-услуги</t>
        </is>
      </c>
      <c r="E14" t="n">
        <v>29990</v>
      </c>
    </row>
    <row r="15">
      <c r="A15" t="inlineStr">
        <is>
          <t>2026-04-24</t>
        </is>
      </c>
      <c r="B15" t="inlineStr">
        <is>
          <t>СЧ-22013</t>
        </is>
      </c>
      <c r="C15" t="inlineStr">
        <is>
          <t>ООО Бухсервис</t>
        </is>
      </c>
      <c r="D15" t="inlineStr">
        <is>
          <t>Прочие услуги</t>
        </is>
      </c>
      <c r="E15" t="n">
        <v>178320</v>
      </c>
    </row>
    <row r="16">
      <c r="A16" t="inlineStr">
        <is>
          <t>2026-04-28</t>
        </is>
      </c>
      <c r="B16" t="inlineStr">
        <is>
          <t>СЧ-22005</t>
        </is>
      </c>
      <c r="C16" t="inlineStr">
        <is>
          <t>Bitrix24</t>
        </is>
      </c>
      <c r="D16" t="inlineStr">
        <is>
          <t>IT-услуги</t>
        </is>
      </c>
      <c r="E16" t="n">
        <v>44530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0" customWidth="1" min="5" max="5"/>
    <col width="16" customWidth="1" min="6" max="6"/>
    <col width="19" customWidth="1" min="7" max="7"/>
    <col width="18" customWidth="1" min="8" max="8"/>
    <col width="16" customWidth="1" min="9" max="9"/>
    <col width="16" customWidth="1" min="10" max="10"/>
    <col width="27" customWidth="1" min="11" max="11"/>
    <col width="16" customWidth="1" min="12" max="12"/>
    <col width="16" customWidth="1" min="13" max="13"/>
  </cols>
  <sheetData>
    <row r="1">
      <c r="A1" s="1" t="inlineStr">
        <is>
          <t>SKU</t>
        </is>
      </c>
      <c r="B1" s="1" t="inlineStr">
        <is>
          <t>Канал</t>
        </is>
      </c>
      <c r="C1" s="1" t="inlineStr">
        <is>
          <t>Категория</t>
        </is>
      </c>
      <c r="D1" s="1" t="inlineStr">
        <is>
          <t>Объём</t>
        </is>
      </c>
      <c r="E1" s="1" t="inlineStr">
        <is>
          <t>Выручка валовая, ₽</t>
        </is>
      </c>
      <c r="F1" s="1" t="inlineStr">
        <is>
          <t>Возврат, ₽</t>
        </is>
      </c>
      <c r="G1" s="1" t="inlineStr">
        <is>
          <t>Чистая выручка, ₽</t>
        </is>
      </c>
      <c r="H1" s="1" t="inlineStr">
        <is>
          <t>Себестоимость, ₽</t>
        </is>
      </c>
      <c r="I1" s="1" t="inlineStr">
        <is>
          <t>Комиссия, ₽</t>
        </is>
      </c>
      <c r="J1" s="1" t="inlineStr">
        <is>
          <t>Логистика, ₽</t>
        </is>
      </c>
      <c r="K1" s="1" t="inlineStr">
        <is>
          <t>Эквайринг (в комиссии), ₽</t>
        </is>
      </c>
      <c r="L1" s="1" t="inlineStr">
        <is>
          <t>ДРР, ₽</t>
        </is>
      </c>
      <c r="M1" s="1" t="inlineStr">
        <is>
          <t>Соинвест, ₽</t>
        </is>
      </c>
    </row>
    <row r="2">
      <c r="A2" t="inlineStr">
        <is>
          <t>ABC-CLN-042</t>
        </is>
      </c>
      <c r="B2" t="inlineStr">
        <is>
          <t>Ozon</t>
        </is>
      </c>
      <c r="C2" t="inlineStr">
        <is>
          <t>Бытхимия</t>
        </is>
      </c>
      <c r="D2">
        <f>SUMIFS('Продажи Ozon'!$D:$D, 'Продажи Ozon'!$C:$C, "ABC-CLN-042", 'Продажи Ozon'!$G:$G, "N")</f>
        <v/>
      </c>
      <c r="E2">
        <f>ROUND(SUMPRODUCT(('Продажи Ozon'!$C$2:$C$2000="ABC-CLN-042") * ('Продажи Ozon'!$G$2:$G$2000="N") * 'Продажи Ozon'!$D$2:$D$2000 * 'Продажи Ozon'!$E$2:$E$2000),2)</f>
        <v/>
      </c>
      <c r="F2">
        <f>ROUND(-SUMPRODUCT(('Продажи Ozon'!$C$2:$C$2000="ABC-CLN-042") * ('Продажи Ozon'!$G$2:$G$2000="Y") * 'Продажи Ozon'!$D$2:$D$2000 * 'Продажи Ozon'!$E$2:$E$2000),2)</f>
        <v/>
      </c>
      <c r="G2">
        <f>E2-F2</f>
        <v/>
      </c>
      <c r="H2">
        <f>ROUND(D2 * SUMPRODUCT(('Производство'!$C$2:$C$2000="ABC-CLN-042") * 'Производство'!$E$2:$E$2000 * 'Производство'!$G$2:$G$2000) / SUMIFS('Производство'!$E:$E, 'Производство'!$C:$C, "ABC-CLN-042"),2)</f>
        <v/>
      </c>
      <c r="I2">
        <f>ROUND(G2 * VLOOKUP("ABC-CLN-042", 'Тарифы Ozon'!$A:$E, 4, FALSE),2)</f>
        <v/>
      </c>
      <c r="J2">
        <f>ROUND(D2 * VLOOKUP("ABC-CLN-042", 'Тарифы Ozon'!$A:$E, 5, FALSE),2)</f>
        <v/>
      </c>
      <c r="K2" t="n">
        <v>0</v>
      </c>
      <c r="L2">
        <f>ROUND(SUMIFS('Реклама Ozon'!$D:$D, 'Реклама Ozon'!$C:$C, "ABC-CLN-042"),2)</f>
        <v/>
      </c>
      <c r="M2">
        <f>ROUND(G2 * SUMPRODUCT(('Соинвест Ozon'!$C$2:$C$100="ABC-CLN-042") * 'Соинвест Ozon'!$E$2:$E$100 * ('Соинвест Ozon'!$B$2:$B$100-'Соинвест Ozon'!$A$2:$A$100+1)) / SUMPRODUCT(('Соинвест Ozon'!$C$2:$C$100="ABC-CLN-042") * ('Соинвест Ozon'!$B$2:$B$100-'Соинвест Ozon'!$A$2:$A$100+1)),2)</f>
        <v/>
      </c>
    </row>
    <row r="3">
      <c r="A3" t="inlineStr">
        <is>
          <t>ABC-CLN-042</t>
        </is>
      </c>
      <c r="B3" t="inlineStr">
        <is>
          <t>WB</t>
        </is>
      </c>
      <c r="C3" t="inlineStr">
        <is>
          <t>Бытхимия</t>
        </is>
      </c>
      <c r="D3">
        <f>SUMIFS('Продажи WB'!$E:$E, 'Продажи WB'!$C:$C, "ABC-CLN-042", 'Продажи WB'!$H:$H, "N")</f>
        <v/>
      </c>
      <c r="E3">
        <f>ROUND(SUMPRODUCT(('Продажи WB'!$C$2:$C$2000="ABC-CLN-042") * ('Продажи WB'!$H$2:$H$2000="N") * 'Продажи WB'!$E$2:$E$2000 * 'Продажи WB'!$F$2:$F$2000),2)</f>
        <v/>
      </c>
      <c r="F3">
        <f>ROUND(-SUMPRODUCT(('Продажи WB'!$C$2:$C$2000="ABC-CLN-042") * ('Продажи WB'!$H$2:$H$2000="Y") * 'Продажи WB'!$E$2:$E$2000 * 'Продажи WB'!$F$2:$F$2000),2)</f>
        <v/>
      </c>
      <c r="G3">
        <f>E3-F3</f>
        <v/>
      </c>
      <c r="H3">
        <f>ROUND(D3 * SUMPRODUCT(('Производство'!$C$2:$C$2000="ABC-CLN-042") * 'Производство'!$E$2:$E$2000 * 'Производство'!$G$2:$G$2000) / SUMIFS('Производство'!$E:$E, 'Производство'!$C:$C, "ABC-CLN-042"),2)</f>
        <v/>
      </c>
      <c r="I3">
        <f>ROUND(G3 * VLOOKUP("ABC-CLN-042", 'Тарифы WB'!$A:$E, 4, FALSE),2)</f>
        <v/>
      </c>
      <c r="J3">
        <f>ROUND(D3 * VLOOKUP("ABC-CLN-042", 'Тарифы WB'!$A:$E, 5, FALSE),2)</f>
        <v/>
      </c>
      <c r="K3" t="n">
        <v>0</v>
      </c>
      <c r="L3">
        <f>ROUND(SUMIFS('Реклама WB'!$D:$D, 'Реклама WB'!$C:$C, "ABC-CLN-042"),2)</f>
        <v/>
      </c>
      <c r="M3" t="n">
        <v>0</v>
      </c>
    </row>
    <row r="4">
      <c r="A4" t="inlineStr">
        <is>
          <t>ABC-LDR-034</t>
        </is>
      </c>
      <c r="B4" t="inlineStr">
        <is>
          <t>Ozon</t>
        </is>
      </c>
      <c r="C4" t="inlineStr">
        <is>
          <t>Бытхимия</t>
        </is>
      </c>
      <c r="D4">
        <f>SUMIFS('Продажи Ozon'!$D:$D, 'Продажи Ozon'!$C:$C, "ABC-LDR-034", 'Продажи Ozon'!$G:$G, "N")</f>
        <v/>
      </c>
      <c r="E4">
        <f>ROUND(SUMPRODUCT(('Продажи Ozon'!$C$2:$C$2000="ABC-LDR-034") * ('Продажи Ozon'!$G$2:$G$2000="N") * 'Продажи Ozon'!$D$2:$D$2000 * 'Продажи Ozon'!$E$2:$E$2000),2)</f>
        <v/>
      </c>
      <c r="F4">
        <f>ROUND(-SUMPRODUCT(('Продажи Ozon'!$C$2:$C$2000="ABC-LDR-034") * ('Продажи Ozon'!$G$2:$G$2000="Y") * 'Продажи Ozon'!$D$2:$D$2000 * 'Продажи Ozon'!$E$2:$E$2000),2)</f>
        <v/>
      </c>
      <c r="G4">
        <f>E4-F4</f>
        <v/>
      </c>
      <c r="H4">
        <f>ROUND(D4 * SUMPRODUCT(('Производство'!$C$2:$C$2000="ABC-LDR-034") * 'Производство'!$E$2:$E$2000 * 'Производство'!$G$2:$G$2000) / SUMIFS('Производство'!$E:$E, 'Производство'!$C:$C, "ABC-LDR-034"),2)</f>
        <v/>
      </c>
      <c r="I4">
        <f>ROUND(G4 * VLOOKUP("ABC-LDR-034", 'Тарифы Ozon'!$A:$E, 4, FALSE),2)</f>
        <v/>
      </c>
      <c r="J4">
        <f>ROUND(D4 * VLOOKUP("ABC-LDR-034", 'Тарифы Ozon'!$A:$E, 5, FALSE),2)</f>
        <v/>
      </c>
      <c r="K4" t="n">
        <v>0</v>
      </c>
      <c r="L4">
        <f>ROUND(SUMIFS('Реклама Ozon'!$D:$D, 'Реклама Ozon'!$C:$C, "ABC-LDR-034"),2)</f>
        <v/>
      </c>
      <c r="M4">
        <f>ROUND(G4 * SUMPRODUCT(('Соинвест Ozon'!$C$2:$C$100="ABC-LDR-034") * 'Соинвест Ozon'!$E$2:$E$100 * ('Соинвест Ozon'!$B$2:$B$100-'Соинвест Ozon'!$A$2:$A$100+1)) / SUMPRODUCT(('Соинвест Ozon'!$C$2:$C$100="ABC-LDR-034") * ('Соинвест Ozon'!$B$2:$B$100-'Соинвест Ozon'!$A$2:$A$100+1)),2)</f>
        <v/>
      </c>
    </row>
    <row r="5">
      <c r="A5" t="inlineStr">
        <is>
          <t>ABC-LDR-034</t>
        </is>
      </c>
      <c r="B5" t="inlineStr">
        <is>
          <t>WB</t>
        </is>
      </c>
      <c r="C5" t="inlineStr">
        <is>
          <t>Бытхимия</t>
        </is>
      </c>
      <c r="D5">
        <f>SUMIFS('Продажи WB'!$E:$E, 'Продажи WB'!$C:$C, "ABC-LDR-034", 'Продажи WB'!$H:$H, "N")</f>
        <v/>
      </c>
      <c r="E5">
        <f>ROUND(SUMPRODUCT(('Продажи WB'!$C$2:$C$2000="ABC-LDR-034") * ('Продажи WB'!$H$2:$H$2000="N") * 'Продажи WB'!$E$2:$E$2000 * 'Продажи WB'!$F$2:$F$2000),2)</f>
        <v/>
      </c>
      <c r="F5">
        <f>ROUND(-SUMPRODUCT(('Продажи WB'!$C$2:$C$2000="ABC-LDR-034") * ('Продажи WB'!$H$2:$H$2000="Y") * 'Продажи WB'!$E$2:$E$2000 * 'Продажи WB'!$F$2:$F$2000),2)</f>
        <v/>
      </c>
      <c r="G5">
        <f>E5-F5</f>
        <v/>
      </c>
      <c r="H5">
        <f>ROUND(D5 * SUMPRODUCT(('Производство'!$C$2:$C$2000="ABC-LDR-034") * 'Производство'!$E$2:$E$2000 * 'Производство'!$G$2:$G$2000) / SUMIFS('Производство'!$E:$E, 'Производство'!$C:$C, "ABC-LDR-034"),2)</f>
        <v/>
      </c>
      <c r="I5">
        <f>ROUND(G5 * VLOOKUP("ABC-LDR-034", 'Тарифы WB'!$A:$E, 4, FALSE),2)</f>
        <v/>
      </c>
      <c r="J5">
        <f>ROUND(D5 * VLOOKUP("ABC-LDR-034", 'Тарифы WB'!$A:$E, 5, FALSE),2)</f>
        <v/>
      </c>
      <c r="K5" t="n">
        <v>0</v>
      </c>
      <c r="L5">
        <f>ROUND(SUMIFS('Реклама WB'!$D:$D, 'Реклама WB'!$C:$C, "ABC-LDR-034"),2)</f>
        <v/>
      </c>
      <c r="M5" t="n">
        <v>0</v>
      </c>
    </row>
    <row r="6">
      <c r="A6" t="inlineStr">
        <is>
          <t>ABC-LDR-027</t>
        </is>
      </c>
      <c r="B6" t="inlineStr">
        <is>
          <t>Ozon</t>
        </is>
      </c>
      <c r="C6" t="inlineStr">
        <is>
          <t>Бытхимия</t>
        </is>
      </c>
      <c r="D6">
        <f>SUMIFS('Продажи Ozon'!$D:$D, 'Продажи Ozon'!$C:$C, "ABC-LDR-027", 'Продажи Ozon'!$G:$G, "N")</f>
        <v/>
      </c>
      <c r="E6">
        <f>ROUND(SUMPRODUCT(('Продажи Ozon'!$C$2:$C$2000="ABC-LDR-027") * ('Продажи Ozon'!$G$2:$G$2000="N") * 'Продажи Ozon'!$D$2:$D$2000 * 'Продажи Ozon'!$E$2:$E$2000),2)</f>
        <v/>
      </c>
      <c r="F6">
        <f>ROUND(-SUMPRODUCT(('Продажи Ozon'!$C$2:$C$2000="ABC-LDR-027") * ('Продажи Ozon'!$G$2:$G$2000="Y") * 'Продажи Ozon'!$D$2:$D$2000 * 'Продажи Ozon'!$E$2:$E$2000),2)</f>
        <v/>
      </c>
      <c r="G6">
        <f>E6-F6</f>
        <v/>
      </c>
      <c r="H6">
        <f>ROUND(D6 * SUMPRODUCT(('Производство'!$C$2:$C$2000="ABC-LDR-027") * 'Производство'!$E$2:$E$2000 * 'Производство'!$G$2:$G$2000) / SUMIFS('Производство'!$E:$E, 'Производство'!$C:$C, "ABC-LDR-027"),2)</f>
        <v/>
      </c>
      <c r="I6">
        <f>ROUND(G6 * VLOOKUP("ABC-LDR-027", 'Тарифы Ozon'!$A:$E, 4, FALSE),2)</f>
        <v/>
      </c>
      <c r="J6">
        <f>ROUND(D6 * VLOOKUP("ABC-LDR-027", 'Тарифы Ozon'!$A:$E, 5, FALSE),2)</f>
        <v/>
      </c>
      <c r="K6" t="n">
        <v>0</v>
      </c>
      <c r="L6">
        <f>ROUND(SUMIFS('Реклама Ozon'!$D:$D, 'Реклама Ozon'!$C:$C, "ABC-LDR-027"),2)</f>
        <v/>
      </c>
      <c r="M6">
        <f>ROUND(G6 * SUMPRODUCT(('Соинвест Ozon'!$C$2:$C$100="ABC-LDR-027") * 'Соинвест Ozon'!$E$2:$E$100 * ('Соинвест Ozon'!$B$2:$B$100-'Соинвест Ozon'!$A$2:$A$100+1)) / SUMPRODUCT(('Соинвест Ozon'!$C$2:$C$100="ABC-LDR-027") * ('Соинвест Ozon'!$B$2:$B$100-'Соинвест Ozon'!$A$2:$A$100+1)),2)</f>
        <v/>
      </c>
    </row>
    <row r="7">
      <c r="A7" t="inlineStr">
        <is>
          <t>ABC-LDR-027</t>
        </is>
      </c>
      <c r="B7" t="inlineStr">
        <is>
          <t>WB</t>
        </is>
      </c>
      <c r="C7" t="inlineStr">
        <is>
          <t>Бытхимия</t>
        </is>
      </c>
      <c r="D7">
        <f>SUMIFS('Продажи WB'!$E:$E, 'Продажи WB'!$C:$C, "ABC-LDR-027", 'Продажи WB'!$H:$H, "N")</f>
        <v/>
      </c>
      <c r="E7">
        <f>ROUND(SUMPRODUCT(('Продажи WB'!$C$2:$C$2000="ABC-LDR-027") * ('Продажи WB'!$H$2:$H$2000="N") * 'Продажи WB'!$E$2:$E$2000 * 'Продажи WB'!$F$2:$F$2000),2)</f>
        <v/>
      </c>
      <c r="F7">
        <f>ROUND(-SUMPRODUCT(('Продажи WB'!$C$2:$C$2000="ABC-LDR-027") * ('Продажи WB'!$H$2:$H$2000="Y") * 'Продажи WB'!$E$2:$E$2000 * 'Продажи WB'!$F$2:$F$2000),2)</f>
        <v/>
      </c>
      <c r="G7">
        <f>E7-F7</f>
        <v/>
      </c>
      <c r="H7">
        <f>ROUND(D7 * SUMPRODUCT(('Производство'!$C$2:$C$2000="ABC-LDR-027") * 'Производство'!$E$2:$E$2000 * 'Производство'!$G$2:$G$2000) / SUMIFS('Производство'!$E:$E, 'Производство'!$C:$C, "ABC-LDR-027"),2)</f>
        <v/>
      </c>
      <c r="I7">
        <f>ROUND(G7 * VLOOKUP("ABC-LDR-027", 'Тарифы WB'!$A:$E, 4, FALSE),2)</f>
        <v/>
      </c>
      <c r="J7">
        <f>ROUND(D7 * VLOOKUP("ABC-LDR-027", 'Тарифы WB'!$A:$E, 5, FALSE),2)</f>
        <v/>
      </c>
      <c r="K7" t="n">
        <v>0</v>
      </c>
      <c r="L7">
        <f>ROUND(SUMIFS('Реклама WB'!$D:$D, 'Реклама WB'!$C:$C, "ABC-LDR-027"),2)</f>
        <v/>
      </c>
      <c r="M7" t="n">
        <v>0</v>
      </c>
    </row>
    <row r="8">
      <c r="A8" t="inlineStr">
        <is>
          <t>ABC-DSH-018</t>
        </is>
      </c>
      <c r="B8" t="inlineStr">
        <is>
          <t>Ozon</t>
        </is>
      </c>
      <c r="C8" t="inlineStr">
        <is>
          <t>Посуда</t>
        </is>
      </c>
      <c r="D8">
        <f>SUMIFS('Продажи Ozon'!$D:$D, 'Продажи Ozon'!$C:$C, "ABC-DSH-018", 'Продажи Ozon'!$G:$G, "N")</f>
        <v/>
      </c>
      <c r="E8">
        <f>ROUND(SUMPRODUCT(('Продажи Ozon'!$C$2:$C$2000="ABC-DSH-018") * ('Продажи Ozon'!$G$2:$G$2000="N") * 'Продажи Ozon'!$D$2:$D$2000 * 'Продажи Ozon'!$E$2:$E$2000),2)</f>
        <v/>
      </c>
      <c r="F8">
        <f>ROUND(-SUMPRODUCT(('Продажи Ozon'!$C$2:$C$2000="ABC-DSH-018") * ('Продажи Ozon'!$G$2:$G$2000="Y") * 'Продажи Ozon'!$D$2:$D$2000 * 'Продажи Ozon'!$E$2:$E$2000),2)</f>
        <v/>
      </c>
      <c r="G8">
        <f>E8-F8</f>
        <v/>
      </c>
      <c r="H8">
        <f>ROUND(D8 * SUMPRODUCT(('Производство'!$C$2:$C$2000="ABC-DSH-018") * 'Производство'!$E$2:$E$2000 * 'Производство'!$G$2:$G$2000) / SUMIFS('Производство'!$E:$E, 'Производство'!$C:$C, "ABC-DSH-018"),2)</f>
        <v/>
      </c>
      <c r="I8">
        <f>ROUND(G8 * VLOOKUP("ABC-DSH-018", 'Тарифы Ozon'!$A:$E, 4, FALSE),2)</f>
        <v/>
      </c>
      <c r="J8">
        <f>ROUND(D8 * VLOOKUP("ABC-DSH-018", 'Тарифы Ozon'!$A:$E, 5, FALSE),2)</f>
        <v/>
      </c>
      <c r="K8" t="n">
        <v>0</v>
      </c>
      <c r="L8">
        <f>ROUND(SUMIFS('Реклама Ozon'!$D:$D, 'Реклама Ozon'!$C:$C, "ABC-DSH-018"),2)</f>
        <v/>
      </c>
      <c r="M8">
        <f>ROUND(G8 * SUMPRODUCT(('Соинвест Ozon'!$C$2:$C$100="ABC-DSH-018") * 'Соинвест Ozon'!$E$2:$E$100 * ('Соинвест Ozon'!$B$2:$B$100-'Соинвест Ozon'!$A$2:$A$100+1)) / SUMPRODUCT(('Соинвест Ozon'!$C$2:$C$100="ABC-DSH-018") * ('Соинвест Ozon'!$B$2:$B$100-'Соинвест Ozon'!$A$2:$A$100+1)),2)</f>
        <v/>
      </c>
    </row>
    <row r="9">
      <c r="A9" t="inlineStr">
        <is>
          <t>ABC-DSH-018</t>
        </is>
      </c>
      <c r="B9" t="inlineStr">
        <is>
          <t>WB</t>
        </is>
      </c>
      <c r="C9" t="inlineStr">
        <is>
          <t>Посуда</t>
        </is>
      </c>
      <c r="D9">
        <f>SUMIFS('Продажи WB'!$E:$E, 'Продажи WB'!$C:$C, "ABC-DSH-018", 'Продажи WB'!$H:$H, "N")</f>
        <v/>
      </c>
      <c r="E9">
        <f>ROUND(SUMPRODUCT(('Продажи WB'!$C$2:$C$2000="ABC-DSH-018") * ('Продажи WB'!$H$2:$H$2000="N") * 'Продажи WB'!$E$2:$E$2000 * 'Продажи WB'!$F$2:$F$2000),2)</f>
        <v/>
      </c>
      <c r="F9">
        <f>ROUND(-SUMPRODUCT(('Продажи WB'!$C$2:$C$2000="ABC-DSH-018") * ('Продажи WB'!$H$2:$H$2000="Y") * 'Продажи WB'!$E$2:$E$2000 * 'Продажи WB'!$F$2:$F$2000),2)</f>
        <v/>
      </c>
      <c r="G9">
        <f>E9-F9</f>
        <v/>
      </c>
      <c r="H9">
        <f>ROUND(D9 * SUMPRODUCT(('Производство'!$C$2:$C$2000="ABC-DSH-018") * 'Производство'!$E$2:$E$2000 * 'Производство'!$G$2:$G$2000) / SUMIFS('Производство'!$E:$E, 'Производство'!$C:$C, "ABC-DSH-018"),2)</f>
        <v/>
      </c>
      <c r="I9">
        <f>ROUND(G9 * VLOOKUP("ABC-DSH-018", 'Тарифы WB'!$A:$E, 4, FALSE),2)</f>
        <v/>
      </c>
      <c r="J9">
        <f>ROUND(D9 * VLOOKUP("ABC-DSH-018", 'Тарифы WB'!$A:$E, 5, FALSE),2)</f>
        <v/>
      </c>
      <c r="K9" t="n">
        <v>0</v>
      </c>
      <c r="L9">
        <f>ROUND(SUMIFS('Реклама WB'!$D:$D, 'Реклама WB'!$C:$C, "ABC-DSH-018"),2)</f>
        <v/>
      </c>
      <c r="M9" t="n">
        <v>0</v>
      </c>
    </row>
    <row r="10">
      <c r="A10" t="inlineStr">
        <is>
          <t>ABC-KIT-051</t>
        </is>
      </c>
      <c r="B10" t="inlineStr">
        <is>
          <t>Ozon</t>
        </is>
      </c>
      <c r="C10" t="inlineStr">
        <is>
          <t>Посуда</t>
        </is>
      </c>
      <c r="D10">
        <f>SUMIFS('Продажи Ozon'!$D:$D, 'Продажи Ozon'!$C:$C, "ABC-KIT-051", 'Продажи Ozon'!$G:$G, "N")</f>
        <v/>
      </c>
      <c r="E10">
        <f>ROUND(SUMPRODUCT(('Продажи Ozon'!$C$2:$C$2000="ABC-KIT-051") * ('Продажи Ozon'!$G$2:$G$2000="N") * 'Продажи Ozon'!$D$2:$D$2000 * 'Продажи Ozon'!$E$2:$E$2000),2)</f>
        <v/>
      </c>
      <c r="F10">
        <f>ROUND(-SUMPRODUCT(('Продажи Ozon'!$C$2:$C$2000="ABC-KIT-051") * ('Продажи Ozon'!$G$2:$G$2000="Y") * 'Продажи Ozon'!$D$2:$D$2000 * 'Продажи Ozon'!$E$2:$E$2000),2)</f>
        <v/>
      </c>
      <c r="G10">
        <f>E10-F10</f>
        <v/>
      </c>
      <c r="H10">
        <f>ROUND(D10 * SUMPRODUCT(('Производство'!$C$2:$C$2000="ABC-KIT-051") * 'Производство'!$E$2:$E$2000 * 'Производство'!$G$2:$G$2000) / SUMIFS('Производство'!$E:$E, 'Производство'!$C:$C, "ABC-KIT-051"),2)</f>
        <v/>
      </c>
      <c r="I10">
        <f>ROUND(G10 * VLOOKUP("ABC-KIT-051", 'Тарифы Ozon'!$A:$E, 4, FALSE),2)</f>
        <v/>
      </c>
      <c r="J10">
        <f>ROUND(D10 * VLOOKUP("ABC-KIT-051", 'Тарифы Ozon'!$A:$E, 5, FALSE),2)</f>
        <v/>
      </c>
      <c r="K10" t="n">
        <v>0</v>
      </c>
      <c r="L10">
        <f>ROUND(SUMIFS('Реклама Ozon'!$D:$D, 'Реклама Ozon'!$C:$C, "ABC-KIT-051"),2)</f>
        <v/>
      </c>
      <c r="M10">
        <f>ROUND(G10 * SUMPRODUCT(('Соинвест Ozon'!$C$2:$C$100="ABC-KIT-051") * 'Соинвест Ozon'!$E$2:$E$100 * ('Соинвест Ozon'!$B$2:$B$100-'Соинвест Ozon'!$A$2:$A$100+1)) / SUMPRODUCT(('Соинвест Ozon'!$C$2:$C$100="ABC-KIT-051") * ('Соинвест Ozon'!$B$2:$B$100-'Соинвест Ozon'!$A$2:$A$100+1)),2)</f>
        <v/>
      </c>
    </row>
    <row r="11">
      <c r="A11" t="inlineStr">
        <is>
          <t>ABC-KIT-051</t>
        </is>
      </c>
      <c r="B11" t="inlineStr">
        <is>
          <t>WB</t>
        </is>
      </c>
      <c r="C11" t="inlineStr">
        <is>
          <t>Посуда</t>
        </is>
      </c>
      <c r="D11">
        <f>SUMIFS('Продажи WB'!$E:$E, 'Продажи WB'!$D:$D, "Чистящий крем кухня 750 мл", 'Продажи WB'!$H:$H, "N")</f>
        <v/>
      </c>
      <c r="E11">
        <f>ROUND(SUMPRODUCT(('Продажи WB'!$D$2:$D$2000="Чистящий крем кухня 750 мл") * ('Продажи WB'!$H$2:$H$2000="N") * 'Продажи WB'!$E$2:$E$2000 * 'Продажи WB'!$F$2:$F$2000),2)</f>
        <v/>
      </c>
      <c r="F11">
        <f>ROUND(-SUMPRODUCT(('Продажи WB'!$D$2:$D$2000="Чистящий крем кухня 750 мл") * ('Продажи WB'!$H$2:$H$2000="Y") * 'Продажи WB'!$E$2:$E$2000 * 'Продажи WB'!$F$2:$F$2000),2)</f>
        <v/>
      </c>
      <c r="G11">
        <f>E11-F11</f>
        <v/>
      </c>
      <c r="H11">
        <f>ROUND(D11 * SUMPRODUCT(('Производство'!$C$2:$C$2000="ABC-KIT-051") * 'Производство'!$E$2:$E$2000 * 'Производство'!$G$2:$G$2000) / SUMIFS('Производство'!$E:$E, 'Производство'!$C:$C, "ABC-KIT-051"),2)</f>
        <v/>
      </c>
      <c r="I11">
        <f>ROUND(G11 * VLOOKUP("ABC-KIT-051", 'Тарифы WB'!$A:$E, 4, FALSE),2)</f>
        <v/>
      </c>
      <c r="J11">
        <f>ROUND(D11 * VLOOKUP("ABC-KIT-051", 'Тарифы WB'!$A:$E, 5, FALSE),2)</f>
        <v/>
      </c>
      <c r="K11" t="n">
        <v>0</v>
      </c>
      <c r="L11">
        <f>ROUND(SUMIFS('Реклама WB'!$D:$D, 'Реклама WB'!$C:$C, "ABC-KIT-051"),2)</f>
        <v/>
      </c>
      <c r="M11" t="n">
        <v>0</v>
      </c>
    </row>
    <row r="12">
      <c r="A12" t="inlineStr">
        <is>
          <t>ABC-WND-009</t>
        </is>
      </c>
      <c r="B12" t="inlineStr">
        <is>
          <t>Ozon</t>
        </is>
      </c>
      <c r="C12" t="inlineStr">
        <is>
          <t>Стёкла</t>
        </is>
      </c>
      <c r="D12">
        <f>SUMIFS('Продажи Ozon'!$D:$D, 'Продажи Ozon'!$C:$C, "ABC-WND-009", 'Продажи Ozon'!$G:$G, "N")</f>
        <v/>
      </c>
      <c r="E12">
        <f>ROUND(SUMPRODUCT(('Продажи Ozon'!$C$2:$C$2000="ABC-WND-009") * ('Продажи Ozon'!$G$2:$G$2000="N") * 'Продажи Ozon'!$D$2:$D$2000 * 'Продажи Ozon'!$E$2:$E$2000),2)</f>
        <v/>
      </c>
      <c r="F12">
        <f>ROUND(-SUMPRODUCT(('Продажи Ozon'!$C$2:$C$2000="ABC-WND-009") * ('Продажи Ozon'!$G$2:$G$2000="Y") * 'Продажи Ozon'!$D$2:$D$2000 * 'Продажи Ozon'!$E$2:$E$2000),2)</f>
        <v/>
      </c>
      <c r="G12">
        <f>E12-F12</f>
        <v/>
      </c>
      <c r="H12">
        <f>ROUND(D12 * SUMPRODUCT(('Производство'!$C$2:$C$2000="ABC-WND-009") * 'Производство'!$E$2:$E$2000 * 'Производство'!$G$2:$G$2000) / SUMIFS('Производство'!$E:$E, 'Производство'!$C:$C, "ABC-WND-009"),2)</f>
        <v/>
      </c>
      <c r="I12">
        <f>ROUND(G12 * VLOOKUP("ABC-WND-009", 'Тарифы Ozon'!$A:$E, 4, FALSE),2)</f>
        <v/>
      </c>
      <c r="J12">
        <f>ROUND(D12 * VLOOKUP("ABC-WND-009", 'Тарифы Ozon'!$A:$E, 5, FALSE),2)</f>
        <v/>
      </c>
      <c r="K12" t="n">
        <v>0</v>
      </c>
      <c r="L12">
        <f>ROUND(SUMIFS('Реклама Ozon'!$D:$D, 'Реклама Ozon'!$C:$C, "ABC-WND-009"),2)</f>
        <v/>
      </c>
      <c r="M12">
        <f>ROUND(G12 * SUMPRODUCT(('Соинвест Ozon'!$C$2:$C$100="ABC-WND-009") * 'Соинвест Ozon'!$E$2:$E$100 * ('Соинвест Ozon'!$B$2:$B$100-'Соинвест Ozon'!$A$2:$A$100+1)) / SUMPRODUCT(('Соинвест Ozon'!$C$2:$C$100="ABC-WND-009") * ('Соинвест Ozon'!$B$2:$B$100-'Соинвест Ozon'!$A$2:$A$100+1)),2)</f>
        <v/>
      </c>
    </row>
    <row r="13">
      <c r="A13" t="inlineStr">
        <is>
          <t>ABC-WND-009</t>
        </is>
      </c>
      <c r="B13" t="inlineStr">
        <is>
          <t>WB</t>
        </is>
      </c>
      <c r="C13" t="inlineStr">
        <is>
          <t>Стёкла</t>
        </is>
      </c>
      <c r="D13">
        <f>SUMIFS('Продажи WB'!$E:$E, 'Продажи WB'!$C:$C, "WND-009", 'Продажи WB'!$H:$H, "N")</f>
        <v/>
      </c>
      <c r="E13">
        <f>ROUND(SUMPRODUCT(('Продажи WB'!$C$2:$C$2000="WND-009") * ('Продажи WB'!$H$2:$H$2000="N") * 'Продажи WB'!$E$2:$E$2000 * 'Продажи WB'!$F$2:$F$2000),2)</f>
        <v/>
      </c>
      <c r="F13">
        <f>ROUND(-SUMPRODUCT(('Продажи WB'!$C$2:$C$2000="WND-009") * ('Продажи WB'!$H$2:$H$2000="Y") * 'Продажи WB'!$E$2:$E$2000 * 'Продажи WB'!$F$2:$F$2000),2)</f>
        <v/>
      </c>
      <c r="G13">
        <f>E13-F13</f>
        <v/>
      </c>
      <c r="H13">
        <f>ROUND(D13 * SUMPRODUCT(('Производство'!$C$2:$C$2000="ABC-WND-009") * 'Производство'!$E$2:$E$2000 * 'Производство'!$G$2:$G$2000) / SUMIFS('Производство'!$E:$E, 'Производство'!$C:$C, "ABC-WND-009"),2)</f>
        <v/>
      </c>
      <c r="I13">
        <f>ROUND(G13 * VLOOKUP("ABC-WND-009", 'Тарифы WB'!$A:$E, 4, FALSE),2)</f>
        <v/>
      </c>
      <c r="J13">
        <f>ROUND(D13 * VLOOKUP("ABC-WND-009", 'Тарифы WB'!$A:$E, 5, FALSE),2)</f>
        <v/>
      </c>
      <c r="K13" t="n">
        <v>0</v>
      </c>
      <c r="L13">
        <f>ROUND(SUMIFS('Реклама WB'!$D:$D, 'Реклама WB'!$C:$C, "ABC-WND-009"),2)</f>
        <v/>
      </c>
      <c r="M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8" customWidth="1" min="5" max="5"/>
    <col width="20" customWidth="1" min="6" max="6"/>
  </cols>
  <sheetData>
    <row r="1">
      <c r="A1" s="1" t="inlineStr">
        <is>
          <t>SKU</t>
        </is>
      </c>
      <c r="B1" s="1" t="inlineStr">
        <is>
          <t>Канал</t>
        </is>
      </c>
      <c r="C1" s="1" t="inlineStr">
        <is>
          <t>Категория</t>
        </is>
      </c>
      <c r="D1" s="1" t="inlineStr">
        <is>
          <t>Чистая выручка, ₽</t>
        </is>
      </c>
      <c r="E1" s="1" t="inlineStr">
        <is>
          <t>Себестоимость, ₽</t>
        </is>
      </c>
      <c r="F1" s="1" t="inlineStr">
        <is>
          <t>Валовая прибыль, ₽</t>
        </is>
      </c>
    </row>
    <row r="2">
      <c r="A2">
        <f>Источники!A2</f>
        <v/>
      </c>
      <c r="B2">
        <f>Источники!B2</f>
        <v/>
      </c>
      <c r="C2">
        <f>Источники!C2</f>
        <v/>
      </c>
      <c r="D2">
        <f>Источники!G2</f>
        <v/>
      </c>
      <c r="E2">
        <f>Источники!H2</f>
        <v/>
      </c>
      <c r="F2">
        <f>D2-E2</f>
        <v/>
      </c>
    </row>
    <row r="3">
      <c r="A3">
        <f>Источники!A3</f>
        <v/>
      </c>
      <c r="B3">
        <f>Источники!B3</f>
        <v/>
      </c>
      <c r="C3">
        <f>Источники!C3</f>
        <v/>
      </c>
      <c r="D3">
        <f>Источники!G3</f>
        <v/>
      </c>
      <c r="E3">
        <f>Источники!H3</f>
        <v/>
      </c>
      <c r="F3">
        <f>D3-E3</f>
        <v/>
      </c>
    </row>
    <row r="4">
      <c r="A4">
        <f>Источники!A4</f>
        <v/>
      </c>
      <c r="B4">
        <f>Источники!B4</f>
        <v/>
      </c>
      <c r="C4">
        <f>Источники!C4</f>
        <v/>
      </c>
      <c r="D4">
        <f>Источники!G4</f>
        <v/>
      </c>
      <c r="E4">
        <f>Источники!H4</f>
        <v/>
      </c>
      <c r="F4">
        <f>D4-E4</f>
        <v/>
      </c>
    </row>
    <row r="5">
      <c r="A5">
        <f>Источники!A5</f>
        <v/>
      </c>
      <c r="B5">
        <f>Источники!B5</f>
        <v/>
      </c>
      <c r="C5">
        <f>Источники!C5</f>
        <v/>
      </c>
      <c r="D5">
        <f>Источники!G5</f>
        <v/>
      </c>
      <c r="E5">
        <f>Источники!H5</f>
        <v/>
      </c>
      <c r="F5">
        <f>D5-E5</f>
        <v/>
      </c>
    </row>
    <row r="6">
      <c r="A6">
        <f>Источники!A6</f>
        <v/>
      </c>
      <c r="B6">
        <f>Источники!B6</f>
        <v/>
      </c>
      <c r="C6">
        <f>Источники!C6</f>
        <v/>
      </c>
      <c r="D6">
        <f>Источники!G6</f>
        <v/>
      </c>
      <c r="E6">
        <f>Источники!H6</f>
        <v/>
      </c>
      <c r="F6">
        <f>D6-E6</f>
        <v/>
      </c>
    </row>
    <row r="7">
      <c r="A7">
        <f>Источники!A7</f>
        <v/>
      </c>
      <c r="B7">
        <f>Источники!B7</f>
        <v/>
      </c>
      <c r="C7">
        <f>Источники!C7</f>
        <v/>
      </c>
      <c r="D7">
        <f>Источники!G7</f>
        <v/>
      </c>
      <c r="E7">
        <f>Источники!H7</f>
        <v/>
      </c>
      <c r="F7">
        <f>D7-E7</f>
        <v/>
      </c>
    </row>
    <row r="8">
      <c r="A8">
        <f>Источники!A8</f>
        <v/>
      </c>
      <c r="B8">
        <f>Источники!B8</f>
        <v/>
      </c>
      <c r="C8">
        <f>Источники!C8</f>
        <v/>
      </c>
      <c r="D8">
        <f>Источники!G8</f>
        <v/>
      </c>
      <c r="E8">
        <f>Источники!H8</f>
        <v/>
      </c>
      <c r="F8">
        <f>D8-E8</f>
        <v/>
      </c>
    </row>
    <row r="9">
      <c r="A9">
        <f>Источники!A9</f>
        <v/>
      </c>
      <c r="B9">
        <f>Источники!B9</f>
        <v/>
      </c>
      <c r="C9">
        <f>Источники!C9</f>
        <v/>
      </c>
      <c r="D9">
        <f>Источники!G9</f>
        <v/>
      </c>
      <c r="E9">
        <f>Источники!H9</f>
        <v/>
      </c>
      <c r="F9">
        <f>D9-E9</f>
        <v/>
      </c>
    </row>
    <row r="10">
      <c r="A10">
        <f>Источники!A10</f>
        <v/>
      </c>
      <c r="B10">
        <f>Источники!B10</f>
        <v/>
      </c>
      <c r="C10">
        <f>Источники!C10</f>
        <v/>
      </c>
      <c r="D10">
        <f>Источники!G10</f>
        <v/>
      </c>
      <c r="E10">
        <f>Источники!H10</f>
        <v/>
      </c>
      <c r="F10">
        <f>D10-E10</f>
        <v/>
      </c>
    </row>
    <row r="11">
      <c r="A11">
        <f>Источники!A11</f>
        <v/>
      </c>
      <c r="B11">
        <f>Источники!B11</f>
        <v/>
      </c>
      <c r="C11">
        <f>Источники!C11</f>
        <v/>
      </c>
      <c r="D11">
        <f>Источники!G11</f>
        <v/>
      </c>
      <c r="E11">
        <f>Источники!H11</f>
        <v/>
      </c>
      <c r="F11">
        <f>D11-E11</f>
        <v/>
      </c>
    </row>
    <row r="12">
      <c r="A12">
        <f>Источники!A12</f>
        <v/>
      </c>
      <c r="B12">
        <f>Источники!B12</f>
        <v/>
      </c>
      <c r="C12">
        <f>Источники!C12</f>
        <v/>
      </c>
      <c r="D12">
        <f>Источники!G12</f>
        <v/>
      </c>
      <c r="E12">
        <f>Источники!H12</f>
        <v/>
      </c>
      <c r="F12">
        <f>D12-E12</f>
        <v/>
      </c>
    </row>
    <row r="13">
      <c r="A13">
        <f>Источники!A13</f>
        <v/>
      </c>
      <c r="B13">
        <f>Источники!B13</f>
        <v/>
      </c>
      <c r="C13">
        <f>Источники!C13</f>
        <v/>
      </c>
      <c r="D13">
        <f>Источники!G13</f>
        <v/>
      </c>
      <c r="E13">
        <f>Источники!H13</f>
        <v/>
      </c>
      <c r="F13">
        <f>D13-E13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5" customWidth="1" min="10" max="10"/>
  </cols>
  <sheetData>
    <row r="1">
      <c r="A1" s="1" t="inlineStr">
        <is>
          <t>SKU</t>
        </is>
      </c>
      <c r="B1" s="1" t="inlineStr">
        <is>
          <t>Канал</t>
        </is>
      </c>
      <c r="C1" s="1" t="inlineStr">
        <is>
          <t>Категория</t>
        </is>
      </c>
      <c r="D1" s="1" t="inlineStr">
        <is>
          <t>Валовая прибыль, ₽</t>
        </is>
      </c>
      <c r="E1" s="1" t="inlineStr">
        <is>
          <t>Комиссия, ₽</t>
        </is>
      </c>
      <c r="F1" s="1" t="inlineStr">
        <is>
          <t>Логистика, ₽</t>
        </is>
      </c>
      <c r="G1" s="1" t="inlineStr">
        <is>
          <t>Эквайринг, ₽</t>
        </is>
      </c>
      <c r="H1" s="1" t="inlineStr">
        <is>
          <t>ДРР, ₽</t>
        </is>
      </c>
      <c r="I1" s="1" t="inlineStr">
        <is>
          <t>Соинвест, ₽</t>
        </is>
      </c>
      <c r="J1" s="1" t="inlineStr">
        <is>
          <t>Маржинальная прибыль, ₽</t>
        </is>
      </c>
    </row>
    <row r="2">
      <c r="A2">
        <f>Валовая!A2</f>
        <v/>
      </c>
      <c r="B2">
        <f>Валовая!B2</f>
        <v/>
      </c>
      <c r="C2">
        <f>Валовая!C2</f>
        <v/>
      </c>
      <c r="D2">
        <f>Валовая!F2</f>
        <v/>
      </c>
      <c r="E2">
        <f>Источники!I2</f>
        <v/>
      </c>
      <c r="F2">
        <f>Источники!J2</f>
        <v/>
      </c>
      <c r="G2">
        <f>Источники!K2</f>
        <v/>
      </c>
      <c r="H2">
        <f>Источники!L2</f>
        <v/>
      </c>
      <c r="I2">
        <f>Источники!M2</f>
        <v/>
      </c>
      <c r="J2">
        <f>D2-E2-F2-G2-H2+I2</f>
        <v/>
      </c>
    </row>
    <row r="3">
      <c r="A3">
        <f>Валовая!A3</f>
        <v/>
      </c>
      <c r="B3">
        <f>Валовая!B3</f>
        <v/>
      </c>
      <c r="C3">
        <f>Валовая!C3</f>
        <v/>
      </c>
      <c r="D3">
        <f>Валовая!F3</f>
        <v/>
      </c>
      <c r="E3">
        <f>Источники!I3</f>
        <v/>
      </c>
      <c r="F3">
        <f>Источники!J3</f>
        <v/>
      </c>
      <c r="G3">
        <f>Источники!K3</f>
        <v/>
      </c>
      <c r="H3">
        <f>Источники!L3</f>
        <v/>
      </c>
      <c r="I3">
        <f>Источники!M3</f>
        <v/>
      </c>
      <c r="J3">
        <f>D3-E3-F3-G3-H3+I3</f>
        <v/>
      </c>
    </row>
    <row r="4">
      <c r="A4">
        <f>Валовая!A4</f>
        <v/>
      </c>
      <c r="B4">
        <f>Валовая!B4</f>
        <v/>
      </c>
      <c r="C4">
        <f>Валовая!C4</f>
        <v/>
      </c>
      <c r="D4">
        <f>Валовая!F4</f>
        <v/>
      </c>
      <c r="E4">
        <f>Источники!I4</f>
        <v/>
      </c>
      <c r="F4">
        <f>Источники!J4</f>
        <v/>
      </c>
      <c r="G4">
        <f>Источники!K4</f>
        <v/>
      </c>
      <c r="H4">
        <f>Источники!L4</f>
        <v/>
      </c>
      <c r="I4">
        <f>Источники!M4</f>
        <v/>
      </c>
      <c r="J4">
        <f>D4-E4-F4-G4-H4+I4</f>
        <v/>
      </c>
    </row>
    <row r="5">
      <c r="A5">
        <f>Валовая!A5</f>
        <v/>
      </c>
      <c r="B5">
        <f>Валовая!B5</f>
        <v/>
      </c>
      <c r="C5">
        <f>Валовая!C5</f>
        <v/>
      </c>
      <c r="D5">
        <f>Валовая!F5</f>
        <v/>
      </c>
      <c r="E5">
        <f>Источники!I5</f>
        <v/>
      </c>
      <c r="F5">
        <f>Источники!J5</f>
        <v/>
      </c>
      <c r="G5">
        <f>Источники!K5</f>
        <v/>
      </c>
      <c r="H5">
        <f>Источники!L5</f>
        <v/>
      </c>
      <c r="I5">
        <f>Источники!M5</f>
        <v/>
      </c>
      <c r="J5">
        <f>D5-E5-F5-G5-H5+I5</f>
        <v/>
      </c>
    </row>
    <row r="6">
      <c r="A6">
        <f>Валовая!A6</f>
        <v/>
      </c>
      <c r="B6">
        <f>Валовая!B6</f>
        <v/>
      </c>
      <c r="C6">
        <f>Валовая!C6</f>
        <v/>
      </c>
      <c r="D6">
        <f>Валовая!F6</f>
        <v/>
      </c>
      <c r="E6">
        <f>Источники!I6</f>
        <v/>
      </c>
      <c r="F6">
        <f>Источники!J6</f>
        <v/>
      </c>
      <c r="G6">
        <f>Источники!K6</f>
        <v/>
      </c>
      <c r="H6">
        <f>Источники!L6</f>
        <v/>
      </c>
      <c r="I6">
        <f>Источники!M6</f>
        <v/>
      </c>
      <c r="J6">
        <f>D6-E6-F6-G6-H6+I6</f>
        <v/>
      </c>
    </row>
    <row r="7">
      <c r="A7">
        <f>Валовая!A7</f>
        <v/>
      </c>
      <c r="B7">
        <f>Валовая!B7</f>
        <v/>
      </c>
      <c r="C7">
        <f>Валовая!C7</f>
        <v/>
      </c>
      <c r="D7">
        <f>Валовая!F7</f>
        <v/>
      </c>
      <c r="E7">
        <f>Источники!I7</f>
        <v/>
      </c>
      <c r="F7">
        <f>Источники!J7</f>
        <v/>
      </c>
      <c r="G7">
        <f>Источники!K7</f>
        <v/>
      </c>
      <c r="H7">
        <f>Источники!L7</f>
        <v/>
      </c>
      <c r="I7">
        <f>Источники!M7</f>
        <v/>
      </c>
      <c r="J7">
        <f>D7-E7-F7-G7-H7+I7</f>
        <v/>
      </c>
    </row>
    <row r="8">
      <c r="A8">
        <f>Валовая!A8</f>
        <v/>
      </c>
      <c r="B8">
        <f>Валовая!B8</f>
        <v/>
      </c>
      <c r="C8">
        <f>Валовая!C8</f>
        <v/>
      </c>
      <c r="D8">
        <f>Валовая!F8</f>
        <v/>
      </c>
      <c r="E8">
        <f>Источники!I8</f>
        <v/>
      </c>
      <c r="F8">
        <f>Источники!J8</f>
        <v/>
      </c>
      <c r="G8">
        <f>Источники!K8</f>
        <v/>
      </c>
      <c r="H8">
        <f>Источники!L8</f>
        <v/>
      </c>
      <c r="I8">
        <f>Источники!M8</f>
        <v/>
      </c>
      <c r="J8">
        <f>D8-E8-F8-G8-H8+I8</f>
        <v/>
      </c>
    </row>
    <row r="9">
      <c r="A9">
        <f>Валовая!A9</f>
        <v/>
      </c>
      <c r="B9">
        <f>Валовая!B9</f>
        <v/>
      </c>
      <c r="C9">
        <f>Валовая!C9</f>
        <v/>
      </c>
      <c r="D9">
        <f>Валовая!F9</f>
        <v/>
      </c>
      <c r="E9">
        <f>Источники!I9</f>
        <v/>
      </c>
      <c r="F9">
        <f>Источники!J9</f>
        <v/>
      </c>
      <c r="G9">
        <f>Источники!K9</f>
        <v/>
      </c>
      <c r="H9">
        <f>Источники!L9</f>
        <v/>
      </c>
      <c r="I9">
        <f>Источники!M9</f>
        <v/>
      </c>
      <c r="J9">
        <f>D9-E9-F9-G9-H9+I9</f>
        <v/>
      </c>
    </row>
    <row r="10">
      <c r="A10">
        <f>Валовая!A10</f>
        <v/>
      </c>
      <c r="B10">
        <f>Валовая!B10</f>
        <v/>
      </c>
      <c r="C10">
        <f>Валовая!C10</f>
        <v/>
      </c>
      <c r="D10">
        <f>Валовая!F10</f>
        <v/>
      </c>
      <c r="E10">
        <f>Источники!I10</f>
        <v/>
      </c>
      <c r="F10">
        <f>Источники!J10</f>
        <v/>
      </c>
      <c r="G10">
        <f>Источники!K10</f>
        <v/>
      </c>
      <c r="H10">
        <f>Источники!L10</f>
        <v/>
      </c>
      <c r="I10">
        <f>Источники!M10</f>
        <v/>
      </c>
      <c r="J10">
        <f>D10-E10-F10-G10-H10+I10</f>
        <v/>
      </c>
    </row>
    <row r="11">
      <c r="A11">
        <f>Валовая!A11</f>
        <v/>
      </c>
      <c r="B11">
        <f>Валовая!B11</f>
        <v/>
      </c>
      <c r="C11">
        <f>Валовая!C11</f>
        <v/>
      </c>
      <c r="D11">
        <f>Валовая!F11</f>
        <v/>
      </c>
      <c r="E11">
        <f>Источники!I11</f>
        <v/>
      </c>
      <c r="F11">
        <f>Источники!J11</f>
        <v/>
      </c>
      <c r="G11">
        <f>Источники!K11</f>
        <v/>
      </c>
      <c r="H11">
        <f>Источники!L11</f>
        <v/>
      </c>
      <c r="I11">
        <f>Источники!M11</f>
        <v/>
      </c>
      <c r="J11">
        <f>D11-E11-F11-G11-H11+I11</f>
        <v/>
      </c>
    </row>
    <row r="12">
      <c r="A12">
        <f>Валовая!A12</f>
        <v/>
      </c>
      <c r="B12">
        <f>Валовая!B12</f>
        <v/>
      </c>
      <c r="C12">
        <f>Валовая!C12</f>
        <v/>
      </c>
      <c r="D12">
        <f>Валовая!F12</f>
        <v/>
      </c>
      <c r="E12">
        <f>Источники!I12</f>
        <v/>
      </c>
      <c r="F12">
        <f>Источники!J12</f>
        <v/>
      </c>
      <c r="G12">
        <f>Источники!K12</f>
        <v/>
      </c>
      <c r="H12">
        <f>Источники!L12</f>
        <v/>
      </c>
      <c r="I12">
        <f>Источники!M12</f>
        <v/>
      </c>
      <c r="J12">
        <f>D12-E12-F12-G12-H12+I12</f>
        <v/>
      </c>
    </row>
    <row r="13">
      <c r="A13">
        <f>Валовая!A13</f>
        <v/>
      </c>
      <c r="B13">
        <f>Валовая!B13</f>
        <v/>
      </c>
      <c r="C13">
        <f>Валовая!C13</f>
        <v/>
      </c>
      <c r="D13">
        <f>Валовая!F13</f>
        <v/>
      </c>
      <c r="E13">
        <f>Источники!I13</f>
        <v/>
      </c>
      <c r="F13">
        <f>Источники!J13</f>
        <v/>
      </c>
      <c r="G13">
        <f>Источники!K13</f>
        <v/>
      </c>
      <c r="H13">
        <f>Источники!L13</f>
        <v/>
      </c>
      <c r="I13">
        <f>Источники!M13</f>
        <v/>
      </c>
      <c r="J13">
        <f>D13-E13-F13-G13-H13+I13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</cols>
  <sheetData>
    <row r="1">
      <c r="A1" s="1" t="inlineStr">
        <is>
          <t>Статья</t>
        </is>
      </c>
      <c r="B1" s="1" t="inlineStr">
        <is>
          <t>Сумма, ₽</t>
        </is>
      </c>
    </row>
    <row r="2">
      <c r="A2" t="inlineStr">
        <is>
          <t>Зарплата</t>
        </is>
      </c>
      <c r="B2">
        <f>SUM('Зарплатная ведомость'!$G:$G)</f>
        <v/>
      </c>
    </row>
    <row r="3">
      <c r="A3" t="inlineStr">
        <is>
          <t>Аренда</t>
        </is>
      </c>
      <c r="B3">
        <f>SUMIFS('Прочие постоянные'!$E:$E, 'Прочие постоянные'!$D:$D, "Аренда")</f>
        <v/>
      </c>
    </row>
    <row r="4">
      <c r="A4" t="inlineStr">
        <is>
          <t>IT-услуги</t>
        </is>
      </c>
      <c r="B4">
        <f>SUMIFS('Прочие постоянные'!$E:$E, 'Прочие постоянные'!$D:$D, "IT-услуги")</f>
        <v/>
      </c>
    </row>
    <row r="5">
      <c r="A5" t="inlineStr">
        <is>
          <t>Прочие услуги</t>
        </is>
      </c>
      <c r="B5">
        <f>SUMIFS('Прочие постоянные'!$E:$E, 'Прочие постоянные'!$D:$D, "Прочие услуги")</f>
        <v/>
      </c>
    </row>
    <row r="6">
      <c r="A6" t="inlineStr">
        <is>
          <t>Прочие административные</t>
        </is>
      </c>
      <c r="B6">
        <f>SUMIFS('Прочие постоянные'!$E:$E, 'Прочие постоянные'!$D:$D, "Прочие административные")</f>
        <v/>
      </c>
    </row>
    <row r="7">
      <c r="A7" t="inlineStr">
        <is>
          <t>ИТОГО</t>
        </is>
      </c>
      <c r="B7">
        <f>SUM(B2:B6)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25" customWidth="1" min="3" max="3"/>
    <col width="16" customWidth="1" min="4" max="4"/>
    <col width="23" customWidth="1" min="5" max="5"/>
    <col width="18" customWidth="1" min="6" max="6"/>
    <col width="16" customWidth="1" min="7" max="7"/>
    <col width="16" customWidth="1" min="8" max="8"/>
  </cols>
  <sheetData>
    <row r="1">
      <c r="A1" s="1" t="inlineStr">
        <is>
          <t>Категория</t>
        </is>
      </c>
      <c r="B1" s="1" t="inlineStr">
        <is>
          <t>Чистая выручка, ₽</t>
        </is>
      </c>
      <c r="C1" s="1" t="inlineStr">
        <is>
          <t>Маржинальная прибыль, ₽</t>
        </is>
      </c>
      <c r="D1" s="1" t="inlineStr">
        <is>
          <t>Доля выручки</t>
        </is>
      </c>
      <c r="E1" s="1" t="inlineStr">
        <is>
          <t>Постоянные (alloc), ₽</t>
        </is>
      </c>
      <c r="F1" s="1" t="inlineStr">
        <is>
          <t>Бренд (alloc), ₽</t>
        </is>
      </c>
      <c r="G1" s="1" t="inlineStr">
        <is>
          <t>EBITDA, ₽</t>
        </is>
      </c>
      <c r="H1" s="1" t="inlineStr">
        <is>
          <t>EBITDA, %</t>
        </is>
      </c>
    </row>
    <row r="2">
      <c r="A2" t="inlineStr">
        <is>
          <t>Бытхимия</t>
        </is>
      </c>
      <c r="B2">
        <f>SUMIFS(Валовая!$D:$D, Валовая!$C:$C, "Бытхимия")</f>
        <v/>
      </c>
      <c r="C2">
        <f>SUMIFS(Маржинальная!$J:$J, Маржинальная!$C:$C, "Бытхимия")</f>
        <v/>
      </c>
      <c r="D2">
        <f>B2/SUM($B$2:$B$4)</f>
        <v/>
      </c>
      <c r="E2">
        <f>D2*Постоянные!$B$7</f>
        <v/>
      </c>
      <c r="F2">
        <f>D2*800000</f>
        <v/>
      </c>
      <c r="G2">
        <f>C2-E2-F2</f>
        <v/>
      </c>
      <c r="H2">
        <f>G2/B2</f>
        <v/>
      </c>
    </row>
    <row r="3">
      <c r="A3" t="inlineStr">
        <is>
          <t>Посуда</t>
        </is>
      </c>
      <c r="B3">
        <f>SUMIFS(Валовая!$D:$D, Валовая!$C:$C, "Посуда")</f>
        <v/>
      </c>
      <c r="C3">
        <f>SUMIFS(Маржинальная!$J:$J, Маржинальная!$C:$C, "Посуда")</f>
        <v/>
      </c>
      <c r="D3">
        <f>B3/SUM($B$2:$B$4)</f>
        <v/>
      </c>
      <c r="E3">
        <f>D3*Постоянные!$B$7</f>
        <v/>
      </c>
      <c r="F3">
        <f>D3*800000</f>
        <v/>
      </c>
      <c r="G3">
        <f>C3-E3-F3</f>
        <v/>
      </c>
      <c r="H3">
        <f>G3/B3</f>
        <v/>
      </c>
    </row>
    <row r="4">
      <c r="A4" t="inlineStr">
        <is>
          <t>Стёкла</t>
        </is>
      </c>
      <c r="B4">
        <f>SUMIFS(Валовая!$D:$D, Валовая!$C:$C, "Стёкла")</f>
        <v/>
      </c>
      <c r="C4">
        <f>SUMIFS(Маржинальная!$J:$J, Маржинальная!$C:$C, "Стёкла")</f>
        <v/>
      </c>
      <c r="D4">
        <f>B4/SUM($B$2:$B$4)</f>
        <v/>
      </c>
      <c r="E4">
        <f>D4*Постоянные!$B$7</f>
        <v/>
      </c>
      <c r="F4">
        <f>D4*800000</f>
        <v/>
      </c>
      <c r="G4">
        <f>C4-E4-F4</f>
        <v/>
      </c>
      <c r="H4">
        <f>G4/B4</f>
        <v/>
      </c>
    </row>
    <row r="5">
      <c r="A5" t="inlineStr">
        <is>
          <t>ИТОГО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G5/B5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1" customWidth="1" min="3" max="3"/>
  </cols>
  <sheetData>
    <row r="1">
      <c r="A1" s="1" t="inlineStr">
        <is>
          <t>Уровень</t>
        </is>
      </c>
      <c r="B1" s="1" t="inlineStr">
        <is>
          <t>Сумма, ₽</t>
        </is>
      </c>
      <c r="C1" s="1" t="inlineStr">
        <is>
          <t>% от чистой выручки</t>
        </is>
      </c>
    </row>
    <row r="2">
      <c r="A2" t="inlineStr">
        <is>
          <t>Чистая выручка</t>
        </is>
      </c>
      <c r="B2">
        <f>Операционная!B5</f>
        <v/>
      </c>
      <c r="C2" t="n">
        <v>1</v>
      </c>
    </row>
    <row r="3">
      <c r="A3" t="inlineStr">
        <is>
          <t>Маржинальная прибыль</t>
        </is>
      </c>
      <c r="B3">
        <f>Операционная!C5</f>
        <v/>
      </c>
      <c r="C3">
        <f>B3/B$2</f>
        <v/>
      </c>
    </row>
    <row r="4">
      <c r="A4" t="inlineStr">
        <is>
          <t>(−) Постоянные</t>
        </is>
      </c>
      <c r="B4">
        <f>-Операционная!E5</f>
        <v/>
      </c>
      <c r="C4">
        <f>B4/B$2</f>
        <v/>
      </c>
    </row>
    <row r="5">
      <c r="A5" t="inlineStr">
        <is>
          <t>(−) Бренд-маркетинг</t>
        </is>
      </c>
      <c r="B5">
        <f>-Операционная!F5</f>
        <v/>
      </c>
      <c r="C5">
        <f>B5/B$2</f>
        <v/>
      </c>
    </row>
    <row r="6">
      <c r="A6" t="inlineStr">
        <is>
          <t>EBITDA</t>
        </is>
      </c>
      <c r="B6">
        <f>Операционная!G5</f>
        <v/>
      </c>
      <c r="C6">
        <f>Операционная!H5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2026-05-20T17:02:26Z</dcterms:created>
  <dcterms:modified xmlns:dcterms="http://purl.org/dc/terms/" xmlns:xsi="http://www.w3.org/2001/XMLSchema-instance" xsi:type="dcterms:W3CDTF">2026-05-20T17:02:26Z</dcterms:modified>
</cp:coreProperties>
</file>