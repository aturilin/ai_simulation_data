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Источники" sheetId="1" state="visible" r:id="rId3"/>
    <sheet name="Валовая" sheetId="2" state="visible" r:id="rId4"/>
    <sheet name="Маржинальная" sheetId="3" state="visible" r:id="rId5"/>
    <sheet name="Постоянные" sheetId="4" state="visible" r:id="rId6"/>
    <sheet name="Операционная" sheetId="5" state="visible" r:id="rId7"/>
    <sheet name="Свод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<sst xmlns="http://schemas.openxmlformats.org/spreadsheetml/2006/main" count="95" uniqueCount="49">
  <si>
    <t xml:space="preserve">SKU</t>
  </si>
  <si>
    <t xml:space="preserve">Канал</t>
  </si>
  <si>
    <t xml:space="preserve">Категория</t>
  </si>
  <si>
    <t xml:space="preserve">Объём</t>
  </si>
  <si>
    <t xml:space="preserve">Выручка валовая, ₽</t>
  </si>
  <si>
    <t xml:space="preserve">Возврат, ₽</t>
  </si>
  <si>
    <t xml:space="preserve">Чистая выручка, ₽</t>
  </si>
  <si>
    <t xml:space="preserve">Себестоимость, ₽</t>
  </si>
  <si>
    <t xml:space="preserve">Комиссия, ₽</t>
  </si>
  <si>
    <t xml:space="preserve">Логистика, ₽</t>
  </si>
  <si>
    <t xml:space="preserve">Эквайринг (в комиссии), ₽</t>
  </si>
  <si>
    <t xml:space="preserve">ДРР, ₽</t>
  </si>
  <si>
    <t xml:space="preserve">Соинвест, ₽</t>
  </si>
  <si>
    <t xml:space="preserve">ABC-CLN-042</t>
  </si>
  <si>
    <t xml:space="preserve">Ozon</t>
  </si>
  <si>
    <t xml:space="preserve">Бытхимия</t>
  </si>
  <si>
    <t xml:space="preserve">WB</t>
  </si>
  <si>
    <t xml:space="preserve">ABC-LDR-034</t>
  </si>
  <si>
    <t xml:space="preserve">ABC-LDR-027</t>
  </si>
  <si>
    <t xml:space="preserve">ABC-DSH-018</t>
  </si>
  <si>
    <t xml:space="preserve">Посуда</t>
  </si>
  <si>
    <t xml:space="preserve">ABC-KIT-051</t>
  </si>
  <si>
    <t xml:space="preserve">ABC-WND-009</t>
  </si>
  <si>
    <t xml:space="preserve">Стёкла</t>
  </si>
  <si>
    <t xml:space="preserve">Валовая прибыль, ₽</t>
  </si>
  <si>
    <t xml:space="preserve">Эквайринг, ₽</t>
  </si>
  <si>
    <t xml:space="preserve">Маржинальная прибыль, ₽</t>
  </si>
  <si>
    <t xml:space="preserve">Статья</t>
  </si>
  <si>
    <t xml:space="preserve">Сумма, ₽</t>
  </si>
  <si>
    <t xml:space="preserve">Зарплата</t>
  </si>
  <si>
    <t xml:space="preserve">Аренда</t>
  </si>
  <si>
    <t xml:space="preserve">IT-услуги</t>
  </si>
  <si>
    <t xml:space="preserve">Прочие услуги</t>
  </si>
  <si>
    <t xml:space="preserve">Прочие административные</t>
  </si>
  <si>
    <t xml:space="preserve">ИТОГО</t>
  </si>
  <si>
    <t xml:space="preserve">Доля выручки</t>
  </si>
  <si>
    <t xml:space="preserve">Постоянные (alloc), ₽</t>
  </si>
  <si>
    <t xml:space="preserve">Бренд (alloc), ₽</t>
  </si>
  <si>
    <t xml:space="preserve">Транспорт (alloc), ₽</t>
  </si>
  <si>
    <t xml:space="preserve">EBITDA, ₽</t>
  </si>
  <si>
    <t xml:space="preserve">EBITDA, %</t>
  </si>
  <si>
    <t xml:space="preserve">Уровень</t>
  </si>
  <si>
    <t xml:space="preserve">% от чистой выручки</t>
  </si>
  <si>
    <t xml:space="preserve">Чистая выручка</t>
  </si>
  <si>
    <t xml:space="preserve">Маржинальная прибыль</t>
  </si>
  <si>
    <t xml:space="preserve">(−) Постоянные</t>
  </si>
  <si>
    <t xml:space="preserve">(−) Бренд-маркетинг</t>
  </si>
  <si>
    <t xml:space="preserve">(−) Транспорт</t>
  </si>
  <si>
    <t xml:space="preserve">EBITDA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</si>
</sst>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8828125" defaultRowHeight="15" customHeight="false" zeroHeight="false" outlineLevelRow="0" outlineLevelCol="0"/>
  <cols>
    <col collapsed="false" customWidth="true" hidden="false" outlineLevel="0" max="4" min="1" style="1" width="16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19"/>
    <col collapsed="false" customWidth="true" hidden="false" outlineLevel="0" max="8" min="8" style="1" width="18"/>
    <col collapsed="false" customWidth="true" hidden="false" outlineLevel="0" max="10" min="9" style="1" width="16"/>
    <col collapsed="false" customWidth="true" hidden="false" outlineLevel="0" max="11" min="11" style="1" width="27"/>
    <col collapsed="false" customWidth="true" hidden="false" outlineLevel="0" max="13" min="12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5" hidden="false" customHeight="true" outlineLevel="0" collapsed="false">
      <c r="A2" s="1" t="s">
        <v>13</v>
      </c>
      <c r="B2" s="1" t="s">
        <v>14</v>
      </c>
      <c r="C2" s="1" t="s">
        <v>15</v>
      </c>
      <c r="D2" s="1" t="n">
        <v>15580</v>
      </c>
      <c r="E2" s="1" t="n">
        <v>5620827.76</v>
      </c>
      <c r="F2" s="1" t="n">
        <v>333910.56</v>
      </c>
      <c r="G2" s="1" t="n">
        <v>5286917.2</v>
      </c>
      <c r="H2" s="1" t="n">
        <v>1733621.78</v>
      </c>
      <c r="I2" s="1" t="n">
        <v>1427467.64</v>
      </c>
      <c r="J2" s="1" t="n">
        <v>545300</v>
      </c>
      <c r="K2" s="1" t="n">
        <v>0</v>
      </c>
      <c r="L2" s="1" t="n">
        <v>333910.56</v>
      </c>
      <c r="M2" s="1" t="n">
        <v>107500.65</v>
      </c>
    </row>
    <row r="3" customFormat="false" ht="15" hidden="false" customHeight="true" outlineLevel="0" collapsed="false">
      <c r="A3" s="1" t="s">
        <v>13</v>
      </c>
      <c r="B3" s="1" t="s">
        <v>16</v>
      </c>
      <c r="C3" s="1" t="s">
        <v>15</v>
      </c>
      <c r="D3" s="1" t="n">
        <v>9840</v>
      </c>
      <c r="E3" s="1" t="n">
        <v>3602219</v>
      </c>
      <c r="F3" s="1" t="n">
        <v>222762.84</v>
      </c>
      <c r="G3" s="1" t="n">
        <v>3379456.16</v>
      </c>
      <c r="H3" s="1" t="n">
        <v>1094919.02</v>
      </c>
      <c r="I3" s="1" t="n">
        <v>996939.57</v>
      </c>
      <c r="J3" s="1" t="n">
        <v>464940</v>
      </c>
      <c r="K3" s="1" t="n">
        <v>0</v>
      </c>
      <c r="L3" s="1" t="n">
        <v>210890.88</v>
      </c>
      <c r="M3" s="1" t="n">
        <v>0</v>
      </c>
    </row>
    <row r="4" customFormat="false" ht="15" hidden="false" customHeight="true" outlineLevel="0" collapsed="false">
      <c r="A4" s="1" t="s">
        <v>17</v>
      </c>
      <c r="B4" s="1" t="s">
        <v>14</v>
      </c>
      <c r="C4" s="1" t="s">
        <v>15</v>
      </c>
      <c r="D4" s="1" t="n">
        <v>5330</v>
      </c>
      <c r="E4" s="1" t="n">
        <v>3698118</v>
      </c>
      <c r="F4" s="1" t="n">
        <v>263052.72</v>
      </c>
      <c r="G4" s="1" t="n">
        <v>3435065.28</v>
      </c>
      <c r="H4" s="1" t="n">
        <v>1182884.92</v>
      </c>
      <c r="I4" s="1" t="n">
        <v>927467.63</v>
      </c>
      <c r="J4" s="1" t="n">
        <v>319800</v>
      </c>
      <c r="K4" s="1" t="n">
        <v>0</v>
      </c>
      <c r="L4" s="1" t="n">
        <v>214138.08</v>
      </c>
      <c r="M4" s="1" t="n">
        <v>34350.65</v>
      </c>
    </row>
    <row r="5" customFormat="false" ht="15" hidden="false" customHeight="true" outlineLevel="0" collapsed="false">
      <c r="A5" s="1" t="s">
        <v>17</v>
      </c>
      <c r="B5" s="1" t="s">
        <v>16</v>
      </c>
      <c r="C5" s="1" t="s">
        <v>15</v>
      </c>
      <c r="D5" s="1" t="n">
        <v>3526</v>
      </c>
      <c r="E5" s="1" t="n">
        <v>2474228.64</v>
      </c>
      <c r="F5" s="1" t="n">
        <v>168150.84</v>
      </c>
      <c r="G5" s="1" t="n">
        <v>2306077.8</v>
      </c>
      <c r="H5" s="1" t="n">
        <v>782523.88</v>
      </c>
      <c r="I5" s="1" t="n">
        <v>680292.95</v>
      </c>
      <c r="J5" s="1" t="n">
        <v>285606</v>
      </c>
      <c r="K5" s="1" t="n">
        <v>0</v>
      </c>
      <c r="L5" s="1" t="n">
        <v>141660.74</v>
      </c>
      <c r="M5" s="1" t="n">
        <v>0</v>
      </c>
    </row>
    <row r="6" customFormat="false" ht="15" hidden="false" customHeight="true" outlineLevel="0" collapsed="false">
      <c r="A6" s="1" t="s">
        <v>18</v>
      </c>
      <c r="B6" s="1" t="s">
        <v>14</v>
      </c>
      <c r="C6" s="1" t="s">
        <v>15</v>
      </c>
      <c r="D6" s="1" t="n">
        <v>7052</v>
      </c>
      <c r="E6" s="1" t="n">
        <v>2004416.2</v>
      </c>
      <c r="F6" s="1" t="n">
        <v>102254</v>
      </c>
      <c r="G6" s="1" t="n">
        <v>1902162.2</v>
      </c>
      <c r="H6" s="1" t="n">
        <v>749343.5</v>
      </c>
      <c r="I6" s="1" t="n">
        <v>513583.79</v>
      </c>
      <c r="J6" s="1" t="n">
        <v>282080</v>
      </c>
      <c r="K6" s="1" t="n">
        <v>0</v>
      </c>
      <c r="L6" s="1" t="n">
        <v>116569.56</v>
      </c>
      <c r="M6" s="1" t="n">
        <v>34872.98</v>
      </c>
    </row>
    <row r="7" customFormat="false" ht="15" hidden="false" customHeight="true" outlineLevel="0" collapsed="false">
      <c r="A7" s="1" t="s">
        <v>18</v>
      </c>
      <c r="B7" s="1" t="s">
        <v>16</v>
      </c>
      <c r="C7" s="1" t="s">
        <v>15</v>
      </c>
      <c r="D7" s="1" t="n">
        <v>4428</v>
      </c>
      <c r="E7" s="1" t="n">
        <v>1249163.4</v>
      </c>
      <c r="F7" s="1" t="n">
        <v>62303.6</v>
      </c>
      <c r="G7" s="1" t="n">
        <v>1186859.8</v>
      </c>
      <c r="H7" s="1" t="n">
        <v>470518.02</v>
      </c>
      <c r="I7" s="1" t="n">
        <v>350123.64</v>
      </c>
      <c r="J7" s="1" t="n">
        <v>239112</v>
      </c>
      <c r="K7" s="1" t="n">
        <v>0</v>
      </c>
      <c r="L7" s="1" t="n">
        <v>73194.84</v>
      </c>
      <c r="M7" s="1" t="n">
        <v>0</v>
      </c>
    </row>
    <row r="8" customFormat="false" ht="15" hidden="false" customHeight="true" outlineLevel="0" collapsed="false">
      <c r="A8" s="1" t="s">
        <v>19</v>
      </c>
      <c r="B8" s="1" t="s">
        <v>14</v>
      </c>
      <c r="C8" s="1" t="s">
        <v>20</v>
      </c>
      <c r="D8" s="1" t="n">
        <v>12300</v>
      </c>
      <c r="E8" s="1" t="n">
        <v>2880463.2</v>
      </c>
      <c r="F8" s="1" t="n">
        <v>147600</v>
      </c>
      <c r="G8" s="1" t="n">
        <v>2732863.2</v>
      </c>
      <c r="H8" s="1" t="n">
        <v>929077.5</v>
      </c>
      <c r="I8" s="1" t="n">
        <v>737873.06</v>
      </c>
      <c r="J8" s="1" t="n">
        <v>307500</v>
      </c>
      <c r="K8" s="1" t="n">
        <v>0</v>
      </c>
      <c r="L8" s="1" t="n">
        <v>168264</v>
      </c>
      <c r="M8" s="1" t="n">
        <v>27328.63</v>
      </c>
    </row>
    <row r="9" customFormat="false" ht="15" hidden="false" customHeight="true" outlineLevel="0" collapsed="false">
      <c r="A9" s="1" t="s">
        <v>19</v>
      </c>
      <c r="B9" s="1" t="s">
        <v>16</v>
      </c>
      <c r="C9" s="1" t="s">
        <v>20</v>
      </c>
      <c r="D9" s="1" t="n">
        <v>7872</v>
      </c>
      <c r="E9" s="1" t="n">
        <v>1804094.3</v>
      </c>
      <c r="F9" s="1" t="n">
        <v>89084.8</v>
      </c>
      <c r="G9" s="1" t="n">
        <v>1715009.5</v>
      </c>
      <c r="H9" s="1" t="n">
        <v>594609.6</v>
      </c>
      <c r="I9" s="1" t="n">
        <v>505927.81</v>
      </c>
      <c r="J9" s="1" t="n">
        <v>265680</v>
      </c>
      <c r="K9" s="1" t="n">
        <v>0</v>
      </c>
      <c r="L9" s="1" t="n">
        <v>107688.96</v>
      </c>
      <c r="M9" s="1" t="n">
        <v>0</v>
      </c>
    </row>
    <row r="10" customFormat="false" ht="15" hidden="false" customHeight="true" outlineLevel="0" collapsed="false">
      <c r="A10" s="1" t="s">
        <v>21</v>
      </c>
      <c r="B10" s="1" t="s">
        <v>14</v>
      </c>
      <c r="C10" s="1" t="s">
        <v>20</v>
      </c>
      <c r="D10" s="1" t="n">
        <v>5740</v>
      </c>
      <c r="E10" s="1" t="n">
        <v>1960353.5</v>
      </c>
      <c r="F10" s="1" t="n">
        <v>137817.4</v>
      </c>
      <c r="G10" s="1" t="n">
        <v>1822536.1</v>
      </c>
      <c r="H10" s="1" t="n">
        <v>640860.3</v>
      </c>
      <c r="I10" s="1" t="n">
        <v>492084.75</v>
      </c>
      <c r="J10" s="1" t="n">
        <v>200900</v>
      </c>
      <c r="K10" s="1" t="n">
        <v>0</v>
      </c>
      <c r="L10" s="1" t="n">
        <v>112102.2</v>
      </c>
      <c r="M10" s="1" t="n">
        <v>39488.28</v>
      </c>
    </row>
    <row r="11" customFormat="false" ht="15" hidden="false" customHeight="true" outlineLevel="0" collapsed="false">
      <c r="A11" s="1" t="s">
        <v>21</v>
      </c>
      <c r="B11" s="1" t="s">
        <v>16</v>
      </c>
      <c r="C11" s="1" t="s">
        <v>20</v>
      </c>
      <c r="D11" s="1" t="n">
        <v>3936</v>
      </c>
      <c r="E11" s="1" t="n">
        <v>1339716</v>
      </c>
      <c r="F11" s="1" t="n">
        <v>92299.2</v>
      </c>
      <c r="G11" s="1" t="n">
        <v>1247416.8</v>
      </c>
      <c r="H11" s="1" t="n">
        <v>439447.06</v>
      </c>
      <c r="I11" s="1" t="n">
        <v>367987.96</v>
      </c>
      <c r="J11" s="1" t="n">
        <v>185976</v>
      </c>
      <c r="K11" s="1" t="n">
        <v>0</v>
      </c>
      <c r="L11" s="1" t="n">
        <v>76870.08</v>
      </c>
      <c r="M11" s="1" t="n">
        <v>0</v>
      </c>
    </row>
    <row r="12" customFormat="false" ht="15" hidden="false" customHeight="true" outlineLevel="0" collapsed="false">
      <c r="A12" s="1" t="s">
        <v>22</v>
      </c>
      <c r="B12" s="1" t="s">
        <v>14</v>
      </c>
      <c r="C12" s="1" t="s">
        <v>23</v>
      </c>
      <c r="D12" s="1" t="n">
        <v>7954</v>
      </c>
      <c r="E12" s="1" t="n">
        <v>1662367.96</v>
      </c>
      <c r="F12" s="1" t="n">
        <v>136490.64</v>
      </c>
      <c r="G12" s="1" t="n">
        <v>1525877.32</v>
      </c>
      <c r="H12" s="1" t="n">
        <v>610997.13</v>
      </c>
      <c r="I12" s="1" t="n">
        <v>411986.88</v>
      </c>
      <c r="J12" s="1" t="n">
        <v>278390</v>
      </c>
      <c r="K12" s="1" t="n">
        <v>0</v>
      </c>
      <c r="L12" s="1" t="n">
        <v>96593.54</v>
      </c>
      <c r="M12" s="1" t="n">
        <v>122070.19</v>
      </c>
    </row>
    <row r="13" customFormat="false" ht="15" hidden="false" customHeight="true" outlineLevel="0" collapsed="false">
      <c r="A13" s="1" t="s">
        <v>22</v>
      </c>
      <c r="B13" s="1" t="s">
        <v>16</v>
      </c>
      <c r="C13" s="1" t="s">
        <v>23</v>
      </c>
      <c r="D13" s="1" t="n">
        <v>5248</v>
      </c>
      <c r="E13" s="1" t="n">
        <v>1128789.04</v>
      </c>
      <c r="F13" s="1" t="n">
        <v>92364.8</v>
      </c>
      <c r="G13" s="1" t="n">
        <v>1036424.24</v>
      </c>
      <c r="H13" s="1" t="n">
        <v>403132.13</v>
      </c>
      <c r="I13" s="1" t="n">
        <v>305745.15</v>
      </c>
      <c r="J13" s="1" t="n">
        <v>247968</v>
      </c>
      <c r="K13" s="1" t="n">
        <v>0</v>
      </c>
      <c r="L13" s="1" t="n">
        <v>63732.04</v>
      </c>
      <c r="M13" s="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8828125" defaultRowHeight="15" customHeight="false" zeroHeight="false" outlineLevelRow="0" outlineLevelCol="0"/>
  <cols>
    <col collapsed="false" customWidth="true" hidden="false" outlineLevel="0" max="3" min="1" style="1" width="16"/>
    <col collapsed="false" customWidth="true" hidden="false" outlineLevel="0" max="4" min="4" style="1" width="19"/>
    <col collapsed="false" customWidth="true" hidden="false" outlineLevel="0" max="5" min="5" style="1" width="18"/>
    <col collapsed="false" customWidth="true" hidden="false" outlineLevel="0" max="6" min="6" style="1" width="2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6</v>
      </c>
      <c r="E1" s="2" t="s">
        <v>7</v>
      </c>
      <c r="F1" s="2" t="s">
        <v>24</v>
      </c>
    </row>
    <row r="2" customFormat="false" ht="15" hidden="false" customHeight="true" outlineLevel="0" collapsed="false">
      <c r="A2" s="1" t="str">
        <f aca="false">Источники!A2</f>
        <v>ABC-CLN-042</v>
      </c>
      <c r="B2" s="1" t="str">
        <f aca="false">Источники!B2</f>
        <v>Ozon</v>
      </c>
      <c r="C2" s="1" t="str">
        <f aca="false">Источники!C2</f>
        <v>Бытхимия</v>
      </c>
      <c r="D2" s="1" t="n">
        <f aca="false">Источники!G2</f>
        <v>5286917.2</v>
      </c>
      <c r="E2" s="1" t="n">
        <f aca="false">Источники!H2</f>
        <v>1733621.78</v>
      </c>
      <c r="F2" s="1" t="n">
        <f aca="false">D2-E2</f>
        <v>3553295.42</v>
      </c>
    </row>
    <row r="3" customFormat="false" ht="15" hidden="false" customHeight="true" outlineLevel="0" collapsed="false">
      <c r="A3" s="1" t="str">
        <f aca="false">Источники!A3</f>
        <v>ABC-CLN-042</v>
      </c>
      <c r="B3" s="1" t="str">
        <f aca="false">Источники!B3</f>
        <v>WB</v>
      </c>
      <c r="C3" s="1" t="str">
        <f aca="false">Источники!C3</f>
        <v>Бытхимия</v>
      </c>
      <c r="D3" s="1" t="n">
        <f aca="false">Источники!G3</f>
        <v>3379456.16</v>
      </c>
      <c r="E3" s="1" t="n">
        <f aca="false">Источники!H3</f>
        <v>1094919.02</v>
      </c>
      <c r="F3" s="1" t="n">
        <f aca="false">D3-E3</f>
        <v>2284537.14</v>
      </c>
    </row>
    <row r="4" customFormat="false" ht="15" hidden="false" customHeight="true" outlineLevel="0" collapsed="false">
      <c r="A4" s="1" t="str">
        <f aca="false">Источники!A4</f>
        <v>ABC-LDR-034</v>
      </c>
      <c r="B4" s="1" t="str">
        <f aca="false">Источники!B4</f>
        <v>Ozon</v>
      </c>
      <c r="C4" s="1" t="str">
        <f aca="false">Источники!C4</f>
        <v>Бытхимия</v>
      </c>
      <c r="D4" s="1" t="n">
        <f aca="false">Источники!G4</f>
        <v>3435065.28</v>
      </c>
      <c r="E4" s="1" t="n">
        <f aca="false">Источники!H4</f>
        <v>1182884.92</v>
      </c>
      <c r="F4" s="1" t="n">
        <f aca="false">D4-E4</f>
        <v>2252180.36</v>
      </c>
    </row>
    <row r="5" customFormat="false" ht="15" hidden="false" customHeight="true" outlineLevel="0" collapsed="false">
      <c r="A5" s="1" t="str">
        <f aca="false">Источники!A5</f>
        <v>ABC-LDR-034</v>
      </c>
      <c r="B5" s="1" t="str">
        <f aca="false">Источники!B5</f>
        <v>WB</v>
      </c>
      <c r="C5" s="1" t="str">
        <f aca="false">Источники!C5</f>
        <v>Бытхимия</v>
      </c>
      <c r="D5" s="1" t="n">
        <f aca="false">Источники!G5</f>
        <v>2306077.8</v>
      </c>
      <c r="E5" s="1" t="n">
        <f aca="false">Источники!H5</f>
        <v>782523.88</v>
      </c>
      <c r="F5" s="1" t="n">
        <f aca="false">D5-E5</f>
        <v>1523553.92</v>
      </c>
    </row>
    <row r="6" customFormat="false" ht="15" hidden="false" customHeight="true" outlineLevel="0" collapsed="false">
      <c r="A6" s="1" t="str">
        <f aca="false">Источники!A6</f>
        <v>ABC-LDR-027</v>
      </c>
      <c r="B6" s="1" t="str">
        <f aca="false">Источники!B6</f>
        <v>Ozon</v>
      </c>
      <c r="C6" s="1" t="str">
        <f aca="false">Источники!C6</f>
        <v>Бытхимия</v>
      </c>
      <c r="D6" s="1" t="n">
        <f aca="false">Источники!G6</f>
        <v>1902162.2</v>
      </c>
      <c r="E6" s="1" t="n">
        <f aca="false">Источники!H6</f>
        <v>749343.5</v>
      </c>
      <c r="F6" s="1" t="n">
        <f aca="false">D6-E6</f>
        <v>1152818.7</v>
      </c>
    </row>
    <row r="7" customFormat="false" ht="15" hidden="false" customHeight="true" outlineLevel="0" collapsed="false">
      <c r="A7" s="1" t="str">
        <f aca="false">Источники!A7</f>
        <v>ABC-LDR-027</v>
      </c>
      <c r="B7" s="1" t="str">
        <f aca="false">Источники!B7</f>
        <v>WB</v>
      </c>
      <c r="C7" s="1" t="str">
        <f aca="false">Источники!C7</f>
        <v>Бытхимия</v>
      </c>
      <c r="D7" s="1" t="n">
        <f aca="false">Источники!G7</f>
        <v>1186859.8</v>
      </c>
      <c r="E7" s="1" t="n">
        <f aca="false">Источники!H7</f>
        <v>470518.02</v>
      </c>
      <c r="F7" s="1" t="n">
        <f aca="false">D7-E7</f>
        <v>716341.78</v>
      </c>
    </row>
    <row r="8" customFormat="false" ht="15" hidden="false" customHeight="true" outlineLevel="0" collapsed="false">
      <c r="A8" s="1" t="str">
        <f aca="false">Источники!A8</f>
        <v>ABC-DSH-018</v>
      </c>
      <c r="B8" s="1" t="str">
        <f aca="false">Источники!B8</f>
        <v>Ozon</v>
      </c>
      <c r="C8" s="1" t="str">
        <f aca="false">Источники!C8</f>
        <v>Посуда</v>
      </c>
      <c r="D8" s="1" t="n">
        <f aca="false">Источники!G8</f>
        <v>2732863.2</v>
      </c>
      <c r="E8" s="1" t="n">
        <f aca="false">Источники!H8</f>
        <v>929077.5</v>
      </c>
      <c r="F8" s="1" t="n">
        <f aca="false">D8-E8</f>
        <v>1803785.7</v>
      </c>
    </row>
    <row r="9" customFormat="false" ht="15" hidden="false" customHeight="true" outlineLevel="0" collapsed="false">
      <c r="A9" s="1" t="str">
        <f aca="false">Источники!A9</f>
        <v>ABC-DSH-018</v>
      </c>
      <c r="B9" s="1" t="str">
        <f aca="false">Источники!B9</f>
        <v>WB</v>
      </c>
      <c r="C9" s="1" t="str">
        <f aca="false">Источники!C9</f>
        <v>Посуда</v>
      </c>
      <c r="D9" s="1" t="n">
        <f aca="false">Источники!G9</f>
        <v>1715009.5</v>
      </c>
      <c r="E9" s="1" t="n">
        <f aca="false">Источники!H9</f>
        <v>594609.6</v>
      </c>
      <c r="F9" s="1" t="n">
        <f aca="false">D9-E9</f>
        <v>1120399.9</v>
      </c>
    </row>
    <row r="10" customFormat="false" ht="15" hidden="false" customHeight="true" outlineLevel="0" collapsed="false">
      <c r="A10" s="1" t="str">
        <f aca="false">Источники!A10</f>
        <v>ABC-KIT-051</v>
      </c>
      <c r="B10" s="1" t="str">
        <f aca="false">Источники!B10</f>
        <v>Ozon</v>
      </c>
      <c r="C10" s="1" t="str">
        <f aca="false">Источники!C10</f>
        <v>Посуда</v>
      </c>
      <c r="D10" s="1" t="n">
        <f aca="false">Источники!G10</f>
        <v>1822536.1</v>
      </c>
      <c r="E10" s="1" t="n">
        <f aca="false">Источники!H10</f>
        <v>640860.3</v>
      </c>
      <c r="F10" s="1" t="n">
        <f aca="false">D10-E10</f>
        <v>1181675.8</v>
      </c>
    </row>
    <row r="11" customFormat="false" ht="15" hidden="false" customHeight="true" outlineLevel="0" collapsed="false">
      <c r="A11" s="1" t="str">
        <f aca="false">Источники!A11</f>
        <v>ABC-KIT-051</v>
      </c>
      <c r="B11" s="1" t="str">
        <f aca="false">Источники!B11</f>
        <v>WB</v>
      </c>
      <c r="C11" s="1" t="str">
        <f aca="false">Источники!C11</f>
        <v>Посуда</v>
      </c>
      <c r="D11" s="1" t="n">
        <f aca="false">Источники!G11</f>
        <v>1247416.8</v>
      </c>
      <c r="E11" s="1" t="n">
        <f aca="false">Источники!H11</f>
        <v>439447.06</v>
      </c>
      <c r="F11" s="1" t="n">
        <f aca="false">D11-E11</f>
        <v>807969.74</v>
      </c>
    </row>
    <row r="12" customFormat="false" ht="15" hidden="false" customHeight="true" outlineLevel="0" collapsed="false">
      <c r="A12" s="1" t="str">
        <f aca="false">Источники!A12</f>
        <v>ABC-WND-009</v>
      </c>
      <c r="B12" s="1" t="str">
        <f aca="false">Источники!B12</f>
        <v>Ozon</v>
      </c>
      <c r="C12" s="1" t="str">
        <f aca="false">Источники!C12</f>
        <v>Стёкла</v>
      </c>
      <c r="D12" s="1" t="n">
        <f aca="false">Источники!G12</f>
        <v>1525877.32</v>
      </c>
      <c r="E12" s="1" t="n">
        <f aca="false">Источники!H12</f>
        <v>610997.13</v>
      </c>
      <c r="F12" s="1" t="n">
        <f aca="false">D12-E12</f>
        <v>914880.19</v>
      </c>
    </row>
    <row r="13" customFormat="false" ht="15" hidden="false" customHeight="true" outlineLevel="0" collapsed="false">
      <c r="A13" s="1" t="str">
        <f aca="false">Источники!A13</f>
        <v>ABC-WND-009</v>
      </c>
      <c r="B13" s="1" t="str">
        <f aca="false">Источники!B13</f>
        <v>WB</v>
      </c>
      <c r="C13" s="1" t="str">
        <f aca="false">Источники!C13</f>
        <v>Стёкла</v>
      </c>
      <c r="D13" s="1" t="n">
        <f aca="false">Источники!G13</f>
        <v>1036424.24</v>
      </c>
      <c r="E13" s="1" t="n">
        <f aca="false">Источники!H13</f>
        <v>403132.13</v>
      </c>
      <c r="F13" s="1" t="n">
        <f aca="false">D13-E13</f>
        <v>633292.11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8828125" defaultRowHeight="15" customHeight="false" zeroHeight="false" outlineLevelRow="0" outlineLevelCol="0"/>
  <cols>
    <col collapsed="false" customWidth="true" hidden="false" outlineLevel="0" max="3" min="1" style="1" width="16"/>
    <col collapsed="false" customWidth="true" hidden="false" outlineLevel="0" max="4" min="4" style="1" width="20"/>
    <col collapsed="false" customWidth="true" hidden="false" outlineLevel="0" max="9" min="5" style="1" width="16"/>
    <col collapsed="false" customWidth="true" hidden="false" outlineLevel="0" max="10" min="10" style="1" width="2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24</v>
      </c>
      <c r="E1" s="2" t="s">
        <v>8</v>
      </c>
      <c r="F1" s="2" t="s">
        <v>9</v>
      </c>
      <c r="G1" s="2" t="s">
        <v>25</v>
      </c>
      <c r="H1" s="2" t="s">
        <v>11</v>
      </c>
      <c r="I1" s="2" t="s">
        <v>12</v>
      </c>
      <c r="J1" s="2" t="s">
        <v>26</v>
      </c>
    </row>
    <row r="2" customFormat="false" ht="15" hidden="false" customHeight="true" outlineLevel="0" collapsed="false">
      <c r="A2" s="1" t="str">
        <f aca="false">Валовая!A2</f>
        <v>ABC-CLN-042</v>
      </c>
      <c r="B2" s="1" t="str">
        <f aca="false">Валовая!B2</f>
        <v>Ozon</v>
      </c>
      <c r="C2" s="1" t="str">
        <f aca="false">Валовая!C2</f>
        <v>Бытхимия</v>
      </c>
      <c r="D2" s="1" t="n">
        <f aca="false">Валовая!F2</f>
        <v>3553295.42</v>
      </c>
      <c r="E2" s="1" t="n">
        <f aca="false">Источники!I2</f>
        <v>1427467.64</v>
      </c>
      <c r="F2" s="1" t="n">
        <f aca="false">Источники!J2</f>
        <v>545300</v>
      </c>
      <c r="G2" s="1" t="n">
        <f aca="false">Источники!K2</f>
        <v>0</v>
      </c>
      <c r="H2" s="1" t="n">
        <f aca="false">Источники!L2</f>
        <v>333910.56</v>
      </c>
      <c r="I2" s="1" t="n">
        <f aca="false">Источники!M2</f>
        <v>107500.65</v>
      </c>
      <c r="J2" s="1" t="n">
        <f aca="false">D2-E2-F2-G2-H2+I2</f>
        <v>1354117.87</v>
      </c>
    </row>
    <row r="3" customFormat="false" ht="15" hidden="false" customHeight="true" outlineLevel="0" collapsed="false">
      <c r="A3" s="1" t="str">
        <f aca="false">Валовая!A3</f>
        <v>ABC-CLN-042</v>
      </c>
      <c r="B3" s="1" t="str">
        <f aca="false">Валовая!B3</f>
        <v>WB</v>
      </c>
      <c r="C3" s="1" t="str">
        <f aca="false">Валовая!C3</f>
        <v>Бытхимия</v>
      </c>
      <c r="D3" s="1" t="n">
        <f aca="false">Валовая!F3</f>
        <v>2284537.14</v>
      </c>
      <c r="E3" s="1" t="n">
        <f aca="false">Источники!I3</f>
        <v>996939.57</v>
      </c>
      <c r="F3" s="1" t="n">
        <f aca="false">Источники!J3</f>
        <v>464940</v>
      </c>
      <c r="G3" s="1" t="n">
        <f aca="false">Источники!K3</f>
        <v>0</v>
      </c>
      <c r="H3" s="1" t="n">
        <f aca="false">Источники!L3</f>
        <v>210890.88</v>
      </c>
      <c r="I3" s="1" t="n">
        <f aca="false">Источники!M3</f>
        <v>0</v>
      </c>
      <c r="J3" s="1" t="n">
        <f aca="false">D3-E3-F3-G3-H3+I3</f>
        <v>611766.69</v>
      </c>
    </row>
    <row r="4" customFormat="false" ht="15" hidden="false" customHeight="true" outlineLevel="0" collapsed="false">
      <c r="A4" s="1" t="str">
        <f aca="false">Валовая!A4</f>
        <v>ABC-LDR-034</v>
      </c>
      <c r="B4" s="1" t="str">
        <f aca="false">Валовая!B4</f>
        <v>Ozon</v>
      </c>
      <c r="C4" s="1" t="str">
        <f aca="false">Валовая!C4</f>
        <v>Бытхимия</v>
      </c>
      <c r="D4" s="1" t="n">
        <f aca="false">Валовая!F4</f>
        <v>2252180.36</v>
      </c>
      <c r="E4" s="1" t="n">
        <f aca="false">Источники!I4</f>
        <v>927467.63</v>
      </c>
      <c r="F4" s="1" t="n">
        <f aca="false">Источники!J4</f>
        <v>319800</v>
      </c>
      <c r="G4" s="1" t="n">
        <f aca="false">Источники!K4</f>
        <v>0</v>
      </c>
      <c r="H4" s="1" t="n">
        <f aca="false">Источники!L4</f>
        <v>214138.08</v>
      </c>
      <c r="I4" s="1" t="n">
        <f aca="false">Источники!M4</f>
        <v>34350.65</v>
      </c>
      <c r="J4" s="1" t="n">
        <f aca="false">D4-E4-F4-G4-H4+I4</f>
        <v>825125.3</v>
      </c>
    </row>
    <row r="5" customFormat="false" ht="15" hidden="false" customHeight="true" outlineLevel="0" collapsed="false">
      <c r="A5" s="1" t="str">
        <f aca="false">Валовая!A5</f>
        <v>ABC-LDR-034</v>
      </c>
      <c r="B5" s="1" t="str">
        <f aca="false">Валовая!B5</f>
        <v>WB</v>
      </c>
      <c r="C5" s="1" t="str">
        <f aca="false">Валовая!C5</f>
        <v>Бытхимия</v>
      </c>
      <c r="D5" s="1" t="n">
        <f aca="false">Валовая!F5</f>
        <v>1523553.92</v>
      </c>
      <c r="E5" s="1" t="n">
        <f aca="false">Источники!I5</f>
        <v>680292.95</v>
      </c>
      <c r="F5" s="1" t="n">
        <f aca="false">Источники!J5</f>
        <v>285606</v>
      </c>
      <c r="G5" s="1" t="n">
        <f aca="false">Источники!K5</f>
        <v>0</v>
      </c>
      <c r="H5" s="1" t="n">
        <f aca="false">Источники!L5</f>
        <v>141660.74</v>
      </c>
      <c r="I5" s="1" t="n">
        <f aca="false">Источники!M5</f>
        <v>0</v>
      </c>
      <c r="J5" s="1" t="n">
        <f aca="false">D5-E5-F5-G5-H5+I5</f>
        <v>415994.23</v>
      </c>
    </row>
    <row r="6" customFormat="false" ht="15" hidden="false" customHeight="true" outlineLevel="0" collapsed="false">
      <c r="A6" s="1" t="str">
        <f aca="false">Валовая!A6</f>
        <v>ABC-LDR-027</v>
      </c>
      <c r="B6" s="1" t="str">
        <f aca="false">Валовая!B6</f>
        <v>Ozon</v>
      </c>
      <c r="C6" s="1" t="str">
        <f aca="false">Валовая!C6</f>
        <v>Бытхимия</v>
      </c>
      <c r="D6" s="1" t="n">
        <f aca="false">Валовая!F6</f>
        <v>1152818.7</v>
      </c>
      <c r="E6" s="1" t="n">
        <f aca="false">Источники!I6</f>
        <v>513583.79</v>
      </c>
      <c r="F6" s="1" t="n">
        <f aca="false">Источники!J6</f>
        <v>282080</v>
      </c>
      <c r="G6" s="1" t="n">
        <f aca="false">Источники!K6</f>
        <v>0</v>
      </c>
      <c r="H6" s="1" t="n">
        <f aca="false">Источники!L6</f>
        <v>116569.56</v>
      </c>
      <c r="I6" s="1" t="n">
        <f aca="false">Источники!M6</f>
        <v>34872.98</v>
      </c>
      <c r="J6" s="1" t="n">
        <f aca="false">D6-E6-F6-G6-H6+I6</f>
        <v>275458.33</v>
      </c>
    </row>
    <row r="7" customFormat="false" ht="15" hidden="false" customHeight="true" outlineLevel="0" collapsed="false">
      <c r="A7" s="1" t="str">
        <f aca="false">Валовая!A7</f>
        <v>ABC-LDR-027</v>
      </c>
      <c r="B7" s="1" t="str">
        <f aca="false">Валовая!B7</f>
        <v>WB</v>
      </c>
      <c r="C7" s="1" t="str">
        <f aca="false">Валовая!C7</f>
        <v>Бытхимия</v>
      </c>
      <c r="D7" s="1" t="n">
        <f aca="false">Валовая!F7</f>
        <v>716341.78</v>
      </c>
      <c r="E7" s="1" t="n">
        <f aca="false">Источники!I7</f>
        <v>350123.64</v>
      </c>
      <c r="F7" s="1" t="n">
        <f aca="false">Источники!J7</f>
        <v>239112</v>
      </c>
      <c r="G7" s="1" t="n">
        <f aca="false">Источники!K7</f>
        <v>0</v>
      </c>
      <c r="H7" s="1" t="n">
        <f aca="false">Источники!L7</f>
        <v>73194.84</v>
      </c>
      <c r="I7" s="1" t="n">
        <f aca="false">Источники!M7</f>
        <v>0</v>
      </c>
      <c r="J7" s="1" t="n">
        <f aca="false">D7-E7-F7-G7-H7+I7</f>
        <v>53911.3</v>
      </c>
    </row>
    <row r="8" customFormat="false" ht="15" hidden="false" customHeight="true" outlineLevel="0" collapsed="false">
      <c r="A8" s="1" t="str">
        <f aca="false">Валовая!A8</f>
        <v>ABC-DSH-018</v>
      </c>
      <c r="B8" s="1" t="str">
        <f aca="false">Валовая!B8</f>
        <v>Ozon</v>
      </c>
      <c r="C8" s="1" t="str">
        <f aca="false">Валовая!C8</f>
        <v>Посуда</v>
      </c>
      <c r="D8" s="1" t="n">
        <f aca="false">Валовая!F8</f>
        <v>1803785.7</v>
      </c>
      <c r="E8" s="1" t="n">
        <f aca="false">Источники!I8</f>
        <v>737873.06</v>
      </c>
      <c r="F8" s="1" t="n">
        <f aca="false">Источники!J8</f>
        <v>307500</v>
      </c>
      <c r="G8" s="1" t="n">
        <f aca="false">Источники!K8</f>
        <v>0</v>
      </c>
      <c r="H8" s="1" t="n">
        <f aca="false">Источники!L8</f>
        <v>168264</v>
      </c>
      <c r="I8" s="1" t="n">
        <f aca="false">Источники!M8</f>
        <v>27328.63</v>
      </c>
      <c r="J8" s="1" t="n">
        <f aca="false">D8-E8-F8-G8-H8+I8</f>
        <v>617477.27</v>
      </c>
    </row>
    <row r="9" customFormat="false" ht="15" hidden="false" customHeight="true" outlineLevel="0" collapsed="false">
      <c r="A9" s="1" t="str">
        <f aca="false">Валовая!A9</f>
        <v>ABC-DSH-018</v>
      </c>
      <c r="B9" s="1" t="str">
        <f aca="false">Валовая!B9</f>
        <v>WB</v>
      </c>
      <c r="C9" s="1" t="str">
        <f aca="false">Валовая!C9</f>
        <v>Посуда</v>
      </c>
      <c r="D9" s="1" t="n">
        <f aca="false">Валовая!F9</f>
        <v>1120399.9</v>
      </c>
      <c r="E9" s="1" t="n">
        <f aca="false">Источники!I9</f>
        <v>505927.81</v>
      </c>
      <c r="F9" s="1" t="n">
        <f aca="false">Источники!J9</f>
        <v>265680</v>
      </c>
      <c r="G9" s="1" t="n">
        <f aca="false">Источники!K9</f>
        <v>0</v>
      </c>
      <c r="H9" s="1" t="n">
        <f aca="false">Источники!L9</f>
        <v>107688.96</v>
      </c>
      <c r="I9" s="1" t="n">
        <f aca="false">Источники!M9</f>
        <v>0</v>
      </c>
      <c r="J9" s="1" t="n">
        <f aca="false">D9-E9-F9-G9-H9+I9</f>
        <v>241103.13</v>
      </c>
    </row>
    <row r="10" customFormat="false" ht="15" hidden="false" customHeight="true" outlineLevel="0" collapsed="false">
      <c r="A10" s="1" t="str">
        <f aca="false">Валовая!A10</f>
        <v>ABC-KIT-051</v>
      </c>
      <c r="B10" s="1" t="str">
        <f aca="false">Валовая!B10</f>
        <v>Ozon</v>
      </c>
      <c r="C10" s="1" t="str">
        <f aca="false">Валовая!C10</f>
        <v>Посуда</v>
      </c>
      <c r="D10" s="1" t="n">
        <f aca="false">Валовая!F10</f>
        <v>1181675.8</v>
      </c>
      <c r="E10" s="1" t="n">
        <f aca="false">Источники!I10</f>
        <v>492084.75</v>
      </c>
      <c r="F10" s="1" t="n">
        <f aca="false">Источники!J10</f>
        <v>200900</v>
      </c>
      <c r="G10" s="1" t="n">
        <f aca="false">Источники!K10</f>
        <v>0</v>
      </c>
      <c r="H10" s="1" t="n">
        <f aca="false">Источники!L10</f>
        <v>112102.2</v>
      </c>
      <c r="I10" s="1" t="n">
        <f aca="false">Источники!M10</f>
        <v>39488.28</v>
      </c>
      <c r="J10" s="1" t="n">
        <f aca="false">D10-E10-F10-G10-H10+I10</f>
        <v>416077.13</v>
      </c>
    </row>
    <row r="11" customFormat="false" ht="15" hidden="false" customHeight="true" outlineLevel="0" collapsed="false">
      <c r="A11" s="1" t="str">
        <f aca="false">Валовая!A11</f>
        <v>ABC-KIT-051</v>
      </c>
      <c r="B11" s="1" t="str">
        <f aca="false">Валовая!B11</f>
        <v>WB</v>
      </c>
      <c r="C11" s="1" t="str">
        <f aca="false">Валовая!C11</f>
        <v>Посуда</v>
      </c>
      <c r="D11" s="1" t="n">
        <f aca="false">Валовая!F11</f>
        <v>807969.74</v>
      </c>
      <c r="E11" s="1" t="n">
        <f aca="false">Источники!I11</f>
        <v>367987.96</v>
      </c>
      <c r="F11" s="1" t="n">
        <f aca="false">Источники!J11</f>
        <v>185976</v>
      </c>
      <c r="G11" s="1" t="n">
        <f aca="false">Источники!K11</f>
        <v>0</v>
      </c>
      <c r="H11" s="1" t="n">
        <f aca="false">Источники!L11</f>
        <v>76870.08</v>
      </c>
      <c r="I11" s="1" t="n">
        <f aca="false">Источники!M11</f>
        <v>0</v>
      </c>
      <c r="J11" s="1" t="n">
        <f aca="false">D11-E11-F11-G11-H11+I11</f>
        <v>177135.7</v>
      </c>
    </row>
    <row r="12" customFormat="false" ht="15" hidden="false" customHeight="true" outlineLevel="0" collapsed="false">
      <c r="A12" s="1" t="str">
        <f aca="false">Валовая!A12</f>
        <v>ABC-WND-009</v>
      </c>
      <c r="B12" s="1" t="str">
        <f aca="false">Валовая!B12</f>
        <v>Ozon</v>
      </c>
      <c r="C12" s="1" t="str">
        <f aca="false">Валовая!C12</f>
        <v>Стёкла</v>
      </c>
      <c r="D12" s="1" t="n">
        <f aca="false">Валовая!F12</f>
        <v>914880.19</v>
      </c>
      <c r="E12" s="1" t="n">
        <f aca="false">Источники!I12</f>
        <v>411986.88</v>
      </c>
      <c r="F12" s="1" t="n">
        <f aca="false">Источники!J12</f>
        <v>278390</v>
      </c>
      <c r="G12" s="1" t="n">
        <f aca="false">Источники!K12</f>
        <v>0</v>
      </c>
      <c r="H12" s="1" t="n">
        <f aca="false">Источники!L12</f>
        <v>96593.54</v>
      </c>
      <c r="I12" s="1" t="n">
        <f aca="false">Источники!M12</f>
        <v>122070.19</v>
      </c>
      <c r="J12" s="1" t="n">
        <f aca="false">D12-E12-F12-G12-H12+I12</f>
        <v>249979.96</v>
      </c>
    </row>
    <row r="13" customFormat="false" ht="15" hidden="false" customHeight="true" outlineLevel="0" collapsed="false">
      <c r="A13" s="1" t="str">
        <f aca="false">Валовая!A13</f>
        <v>ABC-WND-009</v>
      </c>
      <c r="B13" s="1" t="str">
        <f aca="false">Валовая!B13</f>
        <v>WB</v>
      </c>
      <c r="C13" s="1" t="str">
        <f aca="false">Валовая!C13</f>
        <v>Стёкла</v>
      </c>
      <c r="D13" s="1" t="n">
        <f aca="false">Валовая!F13</f>
        <v>633292.11</v>
      </c>
      <c r="E13" s="1" t="n">
        <f aca="false">Источники!I13</f>
        <v>305745.15</v>
      </c>
      <c r="F13" s="1" t="n">
        <f aca="false">Источники!J13</f>
        <v>247968</v>
      </c>
      <c r="G13" s="1" t="n">
        <f aca="false">Источники!K13</f>
        <v>0</v>
      </c>
      <c r="H13" s="1" t="n">
        <f aca="false">Источники!L13</f>
        <v>63732.04</v>
      </c>
      <c r="I13" s="1" t="n">
        <f aca="false">Источники!M13</f>
        <v>0</v>
      </c>
      <c r="J13" s="1" t="n">
        <f aca="false">D13-E13-F13-G13-H13+I13</f>
        <v>15846.92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882812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16"/>
  </cols>
  <sheetData>
    <row r="1" customFormat="false" ht="15" hidden="false" customHeight="true" outlineLevel="0" collapsed="false">
      <c r="A1" s="2" t="s">
        <v>27</v>
      </c>
      <c r="B1" s="2" t="s">
        <v>28</v>
      </c>
    </row>
    <row r="2" customFormat="false" ht="15" hidden="false" customHeight="true" outlineLevel="0" collapsed="false">
      <c r="A2" s="1" t="s">
        <v>29</v>
      </c>
      <c r="B2" s="1" t="n">
        <v>2460910.2</v>
      </c>
    </row>
    <row r="3" customFormat="false" ht="15" hidden="false" customHeight="true" outlineLevel="0" collapsed="false">
      <c r="A3" s="1" t="s">
        <v>30</v>
      </c>
      <c r="B3" s="1" t="n">
        <v>820000</v>
      </c>
    </row>
    <row r="4" customFormat="false" ht="15" hidden="false" customHeight="true" outlineLevel="0" collapsed="false">
      <c r="A4" s="1" t="s">
        <v>31</v>
      </c>
      <c r="B4" s="1" t="n">
        <v>205000</v>
      </c>
    </row>
    <row r="5" customFormat="false" ht="15" hidden="false" customHeight="true" outlineLevel="0" collapsed="false">
      <c r="A5" s="1" t="s">
        <v>32</v>
      </c>
      <c r="B5" s="1" t="n">
        <v>410000</v>
      </c>
    </row>
    <row r="6" customFormat="false" ht="15" hidden="false" customHeight="true" outlineLevel="0" collapsed="false">
      <c r="A6" s="1" t="s">
        <v>33</v>
      </c>
      <c r="B6" s="1" t="n">
        <v>410000</v>
      </c>
    </row>
    <row r="7" customFormat="false" ht="15" hidden="false" customHeight="true" outlineLevel="0" collapsed="false">
      <c r="A7" s="1" t="s">
        <v>34</v>
      </c>
      <c r="B7" s="1" t="n">
        <f aca="false">SUM(B2:B6)</f>
        <v>4305910.2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882812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9"/>
    <col collapsed="false" customWidth="true" hidden="false" outlineLevel="0" max="3" min="3" style="1" width="25"/>
    <col collapsed="false" customWidth="true" hidden="false" outlineLevel="0" max="4" min="4" style="1" width="16"/>
    <col collapsed="false" customWidth="true" hidden="false" outlineLevel="0" max="5" min="5" style="1" width="23"/>
    <col collapsed="false" customWidth="true" hidden="false" outlineLevel="0" max="6" min="6" style="1" width="18"/>
    <col collapsed="false" customWidth="true" hidden="false" outlineLevel="0" max="8" min="7" style="1" width="16"/>
  </cols>
  <sheetData>
    <row r="1" customFormat="false" ht="15" hidden="false" customHeight="true" outlineLevel="0" collapsed="false">
      <c r="A1" s="2" t="s">
        <v>2</v>
      </c>
      <c r="B1" s="2" t="s">
        <v>6</v>
      </c>
      <c r="C1" s="2" t="s">
        <v>26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1" t="s">
        <v>40</v>
      </c>
    </row>
    <row r="2" customFormat="false" ht="15" hidden="false" customHeight="true" outlineLevel="0" collapsed="false">
      <c r="A2" s="1" t="s">
        <v>15</v>
      </c>
      <c r="B2" s="1" t="n">
        <f aca="false">SUMIFS(Валовая!$D:$D, Валовая!$C:$C, "Бытхимия")</f>
        <v>17496538.44</v>
      </c>
      <c r="C2" s="1" t="n">
        <f aca="false">SUMIFS(Маржинальная!$J:$J, Маржинальная!$C:$C, "Бытхимия")</f>
        <v>3536373.72</v>
      </c>
      <c r="D2" s="1" t="n">
        <f aca="false">B2/SUM($B$2:$B$4)</f>
        <v>0.634468963499344</v>
      </c>
      <c r="E2" s="1" t="n">
        <f aca="false">D2*Постоянные!$B$7</f>
        <v>2731966.38151525</v>
      </c>
      <c r="F2" s="1" t="n">
        <f aca="false">D2*800000</f>
        <v>507575.170799475</v>
      </c>
      <c r="G2" s="1" t="n">
        <f aca="false">D2*510000</f>
        <v>323579.171384665</v>
      </c>
      <c r="H2" s="1" t="n">
        <f aca="false">C2-E2-F2-G2</f>
        <v>-26747.0036993907</v>
      </c>
      <c r="I2" s="1" t="n">
        <f aca="false">G2/B2</f>
        <v>0.0184938965209775</v>
      </c>
    </row>
    <row r="3" customFormat="false" ht="15" hidden="false" customHeight="true" outlineLevel="0" collapsed="false">
      <c r="A3" s="1" t="s">
        <v>20</v>
      </c>
      <c r="B3" s="1" t="n">
        <f aca="false">SUMIFS(Валовая!$D:$D, Валовая!$C:$C, "Посуда")</f>
        <v>7517825.6</v>
      </c>
      <c r="C3" s="1" t="n">
        <f aca="false">SUMIFS(Маржинальная!$J:$J, Маржинальная!$C:$C, "Посуда")</f>
        <v>1451793.23</v>
      </c>
      <c r="D3" s="1" t="n">
        <f aca="false">B3/SUM($B$2:$B$4)</f>
        <v>0.272615468057168</v>
      </c>
      <c r="E3" s="1" t="n">
        <f aca="false">D3*Постоянные!$B$7</f>
        <v>1173857.72458513</v>
      </c>
      <c r="F3" s="1" t="n">
        <f aca="false">D3*800000</f>
        <v>218092.374445734</v>
      </c>
      <c r="G3" s="1" t="n">
        <f aca="false">D3*510000</f>
        <v>139033.888709156</v>
      </c>
      <c r="H3" s="1" t="n">
        <f aca="false">C3-E3-F3-G3</f>
        <v>-79190.7577400233</v>
      </c>
      <c r="I3" s="1" t="n">
        <f aca="false">G3/B3</f>
        <v>0.0184938965209775</v>
      </c>
    </row>
    <row r="4" customFormat="false" ht="15" hidden="false" customHeight="true" outlineLevel="0" collapsed="false">
      <c r="A4" s="1" t="s">
        <v>23</v>
      </c>
      <c r="B4" s="1" t="n">
        <f aca="false">SUMIFS(Валовая!$D:$D, Валовая!$C:$C, "Стёкла")</f>
        <v>2562301.56</v>
      </c>
      <c r="C4" s="1" t="n">
        <f aca="false">SUMIFS(Маржинальная!$J:$J, Маржинальная!$C:$C, "Стёкла")</f>
        <v>265826.88</v>
      </c>
      <c r="D4" s="1" t="n">
        <f aca="false">B4/SUM($B$2:$B$4)</f>
        <v>0.0929155684434887</v>
      </c>
      <c r="E4" s="1" t="n">
        <f aca="false">D4*Постоянные!$B$7</f>
        <v>400086.093899616</v>
      </c>
      <c r="F4" s="1" t="n">
        <f aca="false">D4*800000</f>
        <v>74332.454754791</v>
      </c>
      <c r="G4" s="1" t="n">
        <f aca="false">D4*510000</f>
        <v>47386.9399061792</v>
      </c>
      <c r="H4" s="1" t="n">
        <f aca="false">C4-E4-F4-G4</f>
        <v>-255978.608560586</v>
      </c>
      <c r="I4" s="1" t="n">
        <f aca="false">G4/B4</f>
        <v>0.0184938965209775</v>
      </c>
    </row>
    <row r="5" customFormat="false" ht="15" hidden="false" customHeight="true" outlineLevel="0" collapsed="false">
      <c r="A5" s="1" t="s">
        <v>34</v>
      </c>
      <c r="B5" s="1" t="n">
        <f aca="false">SUM(B2:B4)</f>
        <v>27576665.6</v>
      </c>
      <c r="C5" s="1" t="n">
        <f aca="false">SUM(C2:C4)</f>
        <v>5253993.83</v>
      </c>
      <c r="D5" s="1" t="n">
        <f aca="false">SUM(D2:D4)</f>
        <v>1</v>
      </c>
      <c r="E5" s="1" t="n">
        <f aca="false">SUM(E2:E4)</f>
        <v>4305910.2</v>
      </c>
      <c r="F5" s="1" t="n">
        <f aca="false">SUM(F2:F4)</f>
        <v>800000</v>
      </c>
      <c r="G5" s="1" t="n">
        <f aca="false">SUM(G2:G4)</f>
        <v>510000</v>
      </c>
      <c r="H5" s="1" t="n">
        <f aca="false">SUM(H2:H4)</f>
        <v>-361916.37</v>
      </c>
      <c r="I5" s="1" t="n">
        <f aca="false">H5/B5</f>
        <v>-0.0131240076392702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882812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1"/>
  </cols>
  <sheetData>
    <row r="1" customFormat="false" ht="15" hidden="false" customHeight="true" outlineLevel="0" collapsed="false">
      <c r="A1" s="2" t="s">
        <v>41</v>
      </c>
      <c r="B1" s="2" t="s">
        <v>28</v>
      </c>
      <c r="C1" s="2" t="s">
        <v>42</v>
      </c>
    </row>
    <row r="2" customFormat="false" ht="15" hidden="false" customHeight="true" outlineLevel="0" collapsed="false">
      <c r="A2" s="1" t="s">
        <v>43</v>
      </c>
      <c r="B2" s="1" t="n">
        <f aca="false">Операционная!B5</f>
        <v>27576665.6</v>
      </c>
      <c r="C2" s="1" t="n">
        <v>1</v>
      </c>
    </row>
    <row r="3" customFormat="false" ht="15" hidden="false" customHeight="true" outlineLevel="0" collapsed="false">
      <c r="A3" s="1" t="s">
        <v>44</v>
      </c>
      <c r="B3" s="1" t="n">
        <f aca="false">Операционная!C5</f>
        <v>5253993.83</v>
      </c>
      <c r="C3" s="1" t="n">
        <f aca="false">B3/B$2</f>
        <v>0.190523172968381</v>
      </c>
    </row>
    <row r="4" customFormat="false" ht="15" hidden="false" customHeight="true" outlineLevel="0" collapsed="false">
      <c r="A4" s="1" t="s">
        <v>45</v>
      </c>
      <c r="B4" s="1" t="n">
        <f aca="false">-Операционная!E5</f>
        <v>-4305910.2</v>
      </c>
      <c r="C4" s="1" t="n">
        <f aca="false">B4/B$2</f>
        <v>-0.156143250328278</v>
      </c>
    </row>
    <row r="5" customFormat="false" ht="15" hidden="false" customHeight="true" outlineLevel="0" collapsed="false">
      <c r="A5" s="1" t="s">
        <v>46</v>
      </c>
      <c r="B5" s="1" t="n">
        <f aca="false">-Операционная!F5</f>
        <v>-800000</v>
      </c>
      <c r="C5" s="1" t="n">
        <f aca="false">B5/B$2</f>
        <v>-0.0290100337583961</v>
      </c>
    </row>
    <row r="6" customFormat="false" ht="15" hidden="false" customHeight="true" outlineLevel="0" collapsed="false">
      <c r="A6" s="1" t="s">
        <v>47</v>
      </c>
      <c r="B6" s="1" t="n">
        <f aca="false">-Операционная!G5</f>
        <v>-510000</v>
      </c>
      <c r="C6" s="1" t="n">
        <f aca="false">B6/B$2</f>
        <v>-0.0184938965209775</v>
      </c>
    </row>
    <row r="7" customFormat="false" ht="15" hidden="false" customHeight="true" outlineLevel="0" collapsed="false">
      <c r="A7" s="1" t="s">
        <v>48</v>
      </c>
      <c r="B7" s="1" t="n">
        <f aca="false">Операционная!H5</f>
        <v>-361916.37</v>
      </c>
      <c r="C7" s="1" t="n">
        <f aca="false">Операционная!I5</f>
        <v>-0.0131240076392702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2026-05-20T17:02:26Z</dcterms:created>
  <dc:creator>openpyxl</dc:creator>
  <dc:description/>
  <dc:language>en-US</dc:language>
  <cp:lastModifiedBy/>
  <dcterms:modified xsi:type="dcterms:W3CDTF">2026-05-30T22:23:20Z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