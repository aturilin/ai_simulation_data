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Методология" sheetId="1" state="visible" r:id="rId1"/>
    <sheet name="Источники" sheetId="2" state="visible" r:id="rId2"/>
    <sheet name="Валовая" sheetId="3" state="visible" r:id="rId3"/>
    <sheet name="Маржинальная" sheetId="4" state="visible" r:id="rId4"/>
    <sheet name="Постоянные" sheetId="5" state="visible" r:id="rId5"/>
    <sheet name="Операционная" sheetId="6" state="visible" r:id="rId6"/>
    <sheet name="Свод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style="4" min="1" max="1"/>
    <col width="72" customWidth="1" style="4" min="2" max="2"/>
    <col width="50" customWidth="1" style="4" min="3" max="3"/>
  </cols>
  <sheetData>
    <row r="1" ht="22" customHeight="1" s="4">
      <c r="A1" s="6" t="inlineStr">
        <is>
          <t>Методология расчёта статей P&amp;L</t>
        </is>
      </c>
    </row>
    <row r="3" ht="28" customHeight="1" s="4">
      <c r="A3" s="7" t="inlineStr">
        <is>
          <t>Статья</t>
        </is>
      </c>
      <c r="B3" s="7" t="inlineStr">
        <is>
          <t>База расчёта</t>
        </is>
      </c>
      <c r="C3" s="7" t="inlineStr">
        <is>
          <t>Источник</t>
        </is>
      </c>
    </row>
    <row r="4" ht="38" customHeight="1" s="4">
      <c r="A4" s="8" t="inlineStr">
        <is>
          <t>Чистая выручка</t>
        </is>
      </c>
      <c r="B4" s="8" t="inlineStr">
        <is>
          <t>Валовая выручка − Возвраты по этой строке</t>
        </is>
      </c>
      <c r="C4" s="8" t="inlineStr">
        <is>
          <t>Источники (G = E − F)</t>
        </is>
      </c>
    </row>
    <row r="5" ht="38" customHeight="1" s="4">
      <c r="A5" s="8" t="inlineStr">
        <is>
          <t>Себестоимость</t>
        </is>
      </c>
      <c r="B5" s="8" t="inlineStr">
        <is>
          <t>qty проданных (только refund=N) × средневзвешенная ₽/шт по SKU</t>
        </is>
      </c>
      <c r="C5" s="8" t="inlineStr">
        <is>
          <t>1c-production.xlsx → Σ(qty × cost_pu)/Σ(qty)</t>
        </is>
      </c>
    </row>
    <row r="6" ht="38" customHeight="1" s="4">
      <c r="A6" s="8" t="inlineStr">
        <is>
          <t>Комиссия</t>
        </is>
      </c>
      <c r="B6" s="8" t="inlineStr">
        <is>
          <t>Чистая выручка строки × Комиссия % канала</t>
        </is>
      </c>
      <c r="C6" s="8" t="inlineStr">
        <is>
          <t>tariffs.xlsx → Комиссия, %</t>
        </is>
      </c>
    </row>
    <row r="7" ht="38" customHeight="1" s="4">
      <c r="A7" s="8" t="inlineStr">
        <is>
          <t>Логистика</t>
        </is>
      </c>
      <c r="B7" s="8" t="inlineStr">
        <is>
          <t>qty (только refund=N) × Логистика ₽/шт канала</t>
        </is>
      </c>
      <c r="C7" s="8" t="inlineStr">
        <is>
          <t>tariffs.xlsx → Логистика, ₽/шт</t>
        </is>
      </c>
    </row>
    <row r="8" ht="38" customHeight="1" s="4">
      <c r="A8" s="8" t="inlineStr">
        <is>
          <t>Эквайринг</t>
        </is>
      </c>
      <c r="B8" s="8" t="inlineStr">
        <is>
          <t>Включён в комиссию маркетплейса (отдельно не выделяется)</t>
        </is>
      </c>
      <c r="C8" s="8" t="inlineStr">
        <is>
          <t>—</t>
        </is>
      </c>
    </row>
    <row r="9" ht="38" customHeight="1" s="4">
      <c r="A9" s="8" t="inlineStr">
        <is>
          <t>ДРР (реклама)</t>
        </is>
      </c>
      <c r="B9" s="8" t="inlineStr">
        <is>
          <t>Валовая выручка строки × ДРР % канала. ВАЖНО: база — валовая, не чистая</t>
        </is>
      </c>
      <c r="C9" s="8" t="inlineStr">
        <is>
          <t>tariffs.xlsx → ДРР, %</t>
        </is>
      </c>
    </row>
    <row r="10" ht="38" customHeight="1" s="4">
      <c r="A10" s="8" t="inlineStr">
        <is>
          <t>Соинвест Озон</t>
        </is>
      </c>
      <c r="B10" s="8" t="inlineStr">
        <is>
          <t>Чистая выручка Озон-строки × % периода по SKU. Знак qty учитывается: refund=Y → соинвест сторнируется (отрицательный). WB соинвеста нет.</t>
        </is>
      </c>
      <c r="C10" s="8" t="inlineStr">
        <is>
          <t>ozon-coinvest.xlsx → % баллов по периоду и SKU</t>
        </is>
      </c>
    </row>
    <row r="11" ht="38" customHeight="1" s="4">
      <c r="A11" s="8" t="inlineStr">
        <is>
          <t>Маржинальная прибыль</t>
        </is>
      </c>
      <c r="B11" s="8" t="inlineStr">
        <is>
          <t>Валовая прибыль − Комиссия − Логистика − Эквайринг − ДРР + Соинвест (см. формулу на листе «Маржинальная»)</t>
        </is>
      </c>
      <c r="C11" s="8" t="inlineStr">
        <is>
          <t>Маржинальная (J = D − E − F − G − H + I)</t>
        </is>
      </c>
    </row>
    <row r="12" ht="38" customHeight="1" s="4">
      <c r="A12" s="8" t="inlineStr">
        <is>
          <t>Постоянные</t>
        </is>
      </c>
      <c r="B12" s="8" t="inlineStr">
        <is>
          <t>Σ 5 статей opex (ФОТ, Аренда, IT, Прочие услуги, Прочие административные). Аллокация по категориям пропорционально доле выручки.</t>
        </is>
      </c>
      <c r="C12" s="8" t="inlineStr">
        <is>
          <t>opex.xlsx</t>
        </is>
      </c>
    </row>
    <row r="13" ht="38" customHeight="1" s="4">
      <c r="A13" s="8" t="inlineStr">
        <is>
          <t>Бренд-маркетинг</t>
        </is>
      </c>
      <c r="B13" s="8" t="inlineStr">
        <is>
          <t>Пул бренд-рекламы (отдельная строка ниже маржинальной). Аллокация по категориям пропорционально доле выручки.</t>
        </is>
      </c>
      <c r="C13" s="8" t="inlineStr">
        <is>
          <t>opex.xlsx → Бренд-реклама</t>
        </is>
      </c>
    </row>
    <row r="14" ht="38" customHeight="1" s="4">
      <c r="A14" s="8" t="inlineStr">
        <is>
          <t>Транспорт завод→FBO</t>
        </is>
      </c>
      <c r="B14" s="8" t="inlineStr">
        <is>
          <t>Пул транспортных расходов (отдельная строка ниже маржинальной). Аллокация по категориям пропорционально доле выручки.</t>
        </is>
      </c>
      <c r="C14" s="8" t="inlineStr">
        <is>
          <t>opex.xlsx → Транспорт завод→FBO</t>
        </is>
      </c>
    </row>
    <row r="15" ht="38" customHeight="1" s="4">
      <c r="A15" s="8" t="inlineStr">
        <is>
          <t>EBITDA</t>
        </is>
      </c>
      <c r="B15" s="8" t="inlineStr">
        <is>
          <t>Маржинальная − Постоянные − Бренд − Транспорт (по категориям и в сумме)</t>
        </is>
      </c>
      <c r="C15" s="8" t="inlineStr">
        <is>
          <t>Операционная (H = C − E − F − G)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8828125" defaultRowHeight="15" customHeight="0" zeroHeight="0" outlineLevelRow="0"/>
  <cols>
    <col width="16" customWidth="1" style="3" min="1" max="4"/>
    <col width="20" customWidth="1" style="3" min="5" max="5"/>
    <col width="16" customWidth="1" style="3" min="6" max="6"/>
    <col width="19" customWidth="1" style="3" min="7" max="7"/>
    <col width="18" customWidth="1" style="3" min="8" max="8"/>
    <col width="16" customWidth="1" style="3" min="9" max="10"/>
    <col width="27" customWidth="1" style="3" min="11" max="11"/>
    <col width="16" customWidth="1" style="3" min="12" max="13"/>
  </cols>
  <sheetData>
    <row r="1" ht="15" customHeight="1" s="4">
      <c r="A1" s="5" t="inlineStr">
        <is>
          <t>SKU</t>
        </is>
      </c>
      <c r="B1" s="5" t="inlineStr">
        <is>
          <t>Канал</t>
        </is>
      </c>
      <c r="C1" s="5" t="inlineStr">
        <is>
          <t>Категория</t>
        </is>
      </c>
      <c r="D1" s="5" t="inlineStr">
        <is>
          <t>Объём</t>
        </is>
      </c>
      <c r="E1" s="5" t="inlineStr">
        <is>
          <t>Выручка валовая, ₽</t>
        </is>
      </c>
      <c r="F1" s="5" t="inlineStr">
        <is>
          <t>Возврат, ₽</t>
        </is>
      </c>
      <c r="G1" s="5" t="inlineStr">
        <is>
          <t>Чистая выручка, ₽</t>
        </is>
      </c>
      <c r="H1" s="5" t="inlineStr">
        <is>
          <t>Себестоимость, ₽</t>
        </is>
      </c>
      <c r="I1" s="5" t="inlineStr">
        <is>
          <t>Комиссия, ₽</t>
        </is>
      </c>
      <c r="J1" s="5" t="inlineStr">
        <is>
          <t>Логистика, ₽</t>
        </is>
      </c>
      <c r="K1" s="5" t="inlineStr">
        <is>
          <t>Эквайринг (в комиссии), ₽</t>
        </is>
      </c>
      <c r="L1" s="5" t="inlineStr">
        <is>
          <t>ДРР, ₽</t>
        </is>
      </c>
      <c r="M1" s="5" t="inlineStr">
        <is>
          <t>Соинвест, ₽</t>
        </is>
      </c>
    </row>
    <row r="2" ht="15" customHeight="1" s="4">
      <c r="A2" s="3" t="inlineStr">
        <is>
          <t>ABC-CLN-042</t>
        </is>
      </c>
      <c r="B2" s="3" t="inlineStr">
        <is>
          <t>Ozon</t>
        </is>
      </c>
      <c r="C2" s="3" t="inlineStr">
        <is>
          <t>Бытхимия</t>
        </is>
      </c>
      <c r="D2" s="3" t="n">
        <v>15580</v>
      </c>
      <c r="E2" s="3" t="n">
        <v>5620827.76</v>
      </c>
      <c r="F2" s="3" t="n">
        <v>333910.56</v>
      </c>
      <c r="G2" s="3" t="n">
        <v>5286917.2</v>
      </c>
      <c r="H2" s="3" t="n">
        <v>1733621.78</v>
      </c>
      <c r="I2" s="3" t="n">
        <v>1427467.64</v>
      </c>
      <c r="J2" s="3" t="n">
        <v>545300</v>
      </c>
      <c r="K2" s="3" t="n">
        <v>0</v>
      </c>
      <c r="L2" s="3" t="n">
        <v>333910.56</v>
      </c>
      <c r="M2" s="3" t="n">
        <v>107500.65</v>
      </c>
    </row>
    <row r="3" ht="15" customHeight="1" s="4">
      <c r="A3" s="3" t="inlineStr">
        <is>
          <t>ABC-CLN-042</t>
        </is>
      </c>
      <c r="B3" s="3" t="inlineStr">
        <is>
          <t>WB</t>
        </is>
      </c>
      <c r="C3" s="3" t="inlineStr">
        <is>
          <t>Бытхимия</t>
        </is>
      </c>
      <c r="D3" s="3" t="n">
        <v>9840</v>
      </c>
      <c r="E3" s="3" t="n">
        <v>3602219</v>
      </c>
      <c r="F3" s="3" t="n">
        <v>222762.84</v>
      </c>
      <c r="G3" s="3" t="n">
        <v>3379456.16</v>
      </c>
      <c r="H3" s="3" t="n">
        <v>1094919.02</v>
      </c>
      <c r="I3" s="3" t="n">
        <v>996939.5699999999</v>
      </c>
      <c r="J3" s="3" t="n">
        <v>464940</v>
      </c>
      <c r="K3" s="3" t="n">
        <v>0</v>
      </c>
      <c r="L3" s="3" t="n">
        <v>210890.88</v>
      </c>
      <c r="M3" s="3" t="n">
        <v>0</v>
      </c>
    </row>
    <row r="4" ht="15" customHeight="1" s="4">
      <c r="A4" s="3" t="inlineStr">
        <is>
          <t>ABC-LDR-034</t>
        </is>
      </c>
      <c r="B4" s="3" t="inlineStr">
        <is>
          <t>Ozon</t>
        </is>
      </c>
      <c r="C4" s="3" t="inlineStr">
        <is>
          <t>Бытхимия</t>
        </is>
      </c>
      <c r="D4" s="3" t="n">
        <v>5330</v>
      </c>
      <c r="E4" s="3" t="n">
        <v>3698118</v>
      </c>
      <c r="F4" s="3" t="n">
        <v>263052.72</v>
      </c>
      <c r="G4" s="3" t="n">
        <v>3435065.28</v>
      </c>
      <c r="H4" s="3" t="n">
        <v>1182884.92</v>
      </c>
      <c r="I4" s="3" t="n">
        <v>927467.63</v>
      </c>
      <c r="J4" s="3" t="n">
        <v>319800</v>
      </c>
      <c r="K4" s="3" t="n">
        <v>0</v>
      </c>
      <c r="L4" s="3" t="n">
        <v>214138.08</v>
      </c>
      <c r="M4" s="3" t="n">
        <v>34350.65</v>
      </c>
    </row>
    <row r="5" ht="15" customHeight="1" s="4">
      <c r="A5" s="3" t="inlineStr">
        <is>
          <t>ABC-LDR-034</t>
        </is>
      </c>
      <c r="B5" s="3" t="inlineStr">
        <is>
          <t>WB</t>
        </is>
      </c>
      <c r="C5" s="3" t="inlineStr">
        <is>
          <t>Бытхимия</t>
        </is>
      </c>
      <c r="D5" s="3" t="n">
        <v>3526</v>
      </c>
      <c r="E5" s="3" t="n">
        <v>2474228.64</v>
      </c>
      <c r="F5" s="3" t="n">
        <v>168150.84</v>
      </c>
      <c r="G5" s="3" t="n">
        <v>2306077.8</v>
      </c>
      <c r="H5" s="3" t="n">
        <v>782523.88</v>
      </c>
      <c r="I5" s="3" t="n">
        <v>680292.95</v>
      </c>
      <c r="J5" s="3" t="n">
        <v>285606</v>
      </c>
      <c r="K5" s="3" t="n">
        <v>0</v>
      </c>
      <c r="L5" s="3" t="n">
        <v>141660.74</v>
      </c>
      <c r="M5" s="3" t="n">
        <v>0</v>
      </c>
    </row>
    <row r="6" ht="15" customHeight="1" s="4">
      <c r="A6" s="3" t="inlineStr">
        <is>
          <t>ABC-LDR-027</t>
        </is>
      </c>
      <c r="B6" s="3" t="inlineStr">
        <is>
          <t>Ozon</t>
        </is>
      </c>
      <c r="C6" s="3" t="inlineStr">
        <is>
          <t>Бытхимия</t>
        </is>
      </c>
      <c r="D6" s="3" t="n">
        <v>7052</v>
      </c>
      <c r="E6" s="3" t="n">
        <v>2004416.2</v>
      </c>
      <c r="F6" s="3" t="n">
        <v>102254</v>
      </c>
      <c r="G6" s="3" t="n">
        <v>1902162.2</v>
      </c>
      <c r="H6" s="3" t="n">
        <v>749343.5</v>
      </c>
      <c r="I6" s="3" t="n">
        <v>513583.79</v>
      </c>
      <c r="J6" s="3" t="n">
        <v>282080</v>
      </c>
      <c r="K6" s="3" t="n">
        <v>0</v>
      </c>
      <c r="L6" s="3" t="n">
        <v>116569.56</v>
      </c>
      <c r="M6" s="3" t="n">
        <v>34872.98</v>
      </c>
    </row>
    <row r="7" ht="15" customHeight="1" s="4">
      <c r="A7" s="3" t="inlineStr">
        <is>
          <t>ABC-LDR-027</t>
        </is>
      </c>
      <c r="B7" s="3" t="inlineStr">
        <is>
          <t>WB</t>
        </is>
      </c>
      <c r="C7" s="3" t="inlineStr">
        <is>
          <t>Бытхимия</t>
        </is>
      </c>
      <c r="D7" s="3" t="n">
        <v>4428</v>
      </c>
      <c r="E7" s="3" t="n">
        <v>1249163.4</v>
      </c>
      <c r="F7" s="3" t="n">
        <v>62303.6</v>
      </c>
      <c r="G7" s="3" t="n">
        <v>1186859.8</v>
      </c>
      <c r="H7" s="3" t="n">
        <v>470518.02</v>
      </c>
      <c r="I7" s="3" t="n">
        <v>350123.64</v>
      </c>
      <c r="J7" s="3" t="n">
        <v>239112</v>
      </c>
      <c r="K7" s="3" t="n">
        <v>0</v>
      </c>
      <c r="L7" s="3" t="n">
        <v>73194.84</v>
      </c>
      <c r="M7" s="3" t="n">
        <v>0</v>
      </c>
    </row>
    <row r="8" ht="15" customHeight="1" s="4">
      <c r="A8" s="3" t="inlineStr">
        <is>
          <t>ABC-DSH-018</t>
        </is>
      </c>
      <c r="B8" s="3" t="inlineStr">
        <is>
          <t>Ozon</t>
        </is>
      </c>
      <c r="C8" s="3" t="inlineStr">
        <is>
          <t>Посуда</t>
        </is>
      </c>
      <c r="D8" s="3" t="n">
        <v>12300</v>
      </c>
      <c r="E8" s="3" t="n">
        <v>2880463.2</v>
      </c>
      <c r="F8" s="3" t="n">
        <v>147600</v>
      </c>
      <c r="G8" s="3" t="n">
        <v>2732863.2</v>
      </c>
      <c r="H8" s="3" t="n">
        <v>929077.5</v>
      </c>
      <c r="I8" s="3" t="n">
        <v>737873.0600000001</v>
      </c>
      <c r="J8" s="3" t="n">
        <v>307500</v>
      </c>
      <c r="K8" s="3" t="n">
        <v>0</v>
      </c>
      <c r="L8" s="3" t="n">
        <v>168264</v>
      </c>
      <c r="M8" s="3" t="n">
        <v>27328.63</v>
      </c>
    </row>
    <row r="9" ht="15" customHeight="1" s="4">
      <c r="A9" s="3" t="inlineStr">
        <is>
          <t>ABC-DSH-018</t>
        </is>
      </c>
      <c r="B9" s="3" t="inlineStr">
        <is>
          <t>WB</t>
        </is>
      </c>
      <c r="C9" s="3" t="inlineStr">
        <is>
          <t>Посуда</t>
        </is>
      </c>
      <c r="D9" s="3" t="n">
        <v>7872</v>
      </c>
      <c r="E9" s="3" t="n">
        <v>1804094.3</v>
      </c>
      <c r="F9" s="3" t="n">
        <v>89084.8</v>
      </c>
      <c r="G9" s="3" t="n">
        <v>1715009.5</v>
      </c>
      <c r="H9" s="3" t="n">
        <v>594609.6</v>
      </c>
      <c r="I9" s="3" t="n">
        <v>505927.81</v>
      </c>
      <c r="J9" s="3" t="n">
        <v>265680</v>
      </c>
      <c r="K9" s="3" t="n">
        <v>0</v>
      </c>
      <c r="L9" s="3" t="n">
        <v>107688.96</v>
      </c>
      <c r="M9" s="3" t="n">
        <v>0</v>
      </c>
    </row>
    <row r="10" ht="15" customHeight="1" s="4">
      <c r="A10" s="3" t="inlineStr">
        <is>
          <t>ABC-KIT-051</t>
        </is>
      </c>
      <c r="B10" s="3" t="inlineStr">
        <is>
          <t>Ozon</t>
        </is>
      </c>
      <c r="C10" s="3" t="inlineStr">
        <is>
          <t>Посуда</t>
        </is>
      </c>
      <c r="D10" s="3" t="n">
        <v>5740</v>
      </c>
      <c r="E10" s="3" t="n">
        <v>1960353.5</v>
      </c>
      <c r="F10" s="3" t="n">
        <v>137817.4</v>
      </c>
      <c r="G10" s="3" t="n">
        <v>1822536.1</v>
      </c>
      <c r="H10" s="3" t="n">
        <v>640860.3</v>
      </c>
      <c r="I10" s="3" t="n">
        <v>492084.75</v>
      </c>
      <c r="J10" s="3" t="n">
        <v>200900</v>
      </c>
      <c r="K10" s="3" t="n">
        <v>0</v>
      </c>
      <c r="L10" s="3" t="n">
        <v>112102.2</v>
      </c>
      <c r="M10" s="3" t="n">
        <v>39488.28</v>
      </c>
    </row>
    <row r="11" ht="15" customHeight="1" s="4">
      <c r="A11" s="3" t="inlineStr">
        <is>
          <t>ABC-KIT-051</t>
        </is>
      </c>
      <c r="B11" s="3" t="inlineStr">
        <is>
          <t>WB</t>
        </is>
      </c>
      <c r="C11" s="3" t="inlineStr">
        <is>
          <t>Посуда</t>
        </is>
      </c>
      <c r="D11" s="3" t="n">
        <v>3936</v>
      </c>
      <c r="E11" s="3" t="n">
        <v>1339716</v>
      </c>
      <c r="F11" s="3" t="n">
        <v>92299.2</v>
      </c>
      <c r="G11" s="3" t="n">
        <v>1247416.8</v>
      </c>
      <c r="H11" s="3" t="n">
        <v>439447.06</v>
      </c>
      <c r="I11" s="3" t="n">
        <v>367987.96</v>
      </c>
      <c r="J11" s="3" t="n">
        <v>185976</v>
      </c>
      <c r="K11" s="3" t="n">
        <v>0</v>
      </c>
      <c r="L11" s="3" t="n">
        <v>76870.08</v>
      </c>
      <c r="M11" s="3" t="n">
        <v>0</v>
      </c>
    </row>
    <row r="12" ht="15" customHeight="1" s="4">
      <c r="A12" s="3" t="inlineStr">
        <is>
          <t>ABC-WND-009</t>
        </is>
      </c>
      <c r="B12" s="3" t="inlineStr">
        <is>
          <t>Ozon</t>
        </is>
      </c>
      <c r="C12" s="3" t="inlineStr">
        <is>
          <t>Стёкла</t>
        </is>
      </c>
      <c r="D12" s="3" t="n">
        <v>7954</v>
      </c>
      <c r="E12" s="3" t="n">
        <v>1662367.96</v>
      </c>
      <c r="F12" s="3" t="n">
        <v>136490.64</v>
      </c>
      <c r="G12" s="3" t="n">
        <v>1525877.32</v>
      </c>
      <c r="H12" s="3" t="n">
        <v>610997.13</v>
      </c>
      <c r="I12" s="3" t="n">
        <v>411986.88</v>
      </c>
      <c r="J12" s="3" t="n">
        <v>278390</v>
      </c>
      <c r="K12" s="3" t="n">
        <v>0</v>
      </c>
      <c r="L12" s="3" t="n">
        <v>96593.53999999999</v>
      </c>
      <c r="M12" s="3" t="n">
        <v>122070.19</v>
      </c>
    </row>
    <row r="13" ht="15" customHeight="1" s="4">
      <c r="A13" s="3" t="inlineStr">
        <is>
          <t>ABC-WND-009</t>
        </is>
      </c>
      <c r="B13" s="3" t="inlineStr">
        <is>
          <t>WB</t>
        </is>
      </c>
      <c r="C13" s="3" t="inlineStr">
        <is>
          <t>Стёкла</t>
        </is>
      </c>
      <c r="D13" s="3" t="n">
        <v>5248</v>
      </c>
      <c r="E13" s="3" t="n">
        <v>1128789.04</v>
      </c>
      <c r="F13" s="3" t="n">
        <v>92364.8</v>
      </c>
      <c r="G13" s="3" t="n">
        <v>1036424.24</v>
      </c>
      <c r="H13" s="3" t="n">
        <v>403132.13</v>
      </c>
      <c r="I13" s="3" t="n">
        <v>305745.15</v>
      </c>
      <c r="J13" s="3" t="n">
        <v>247968</v>
      </c>
      <c r="K13" s="3" t="n">
        <v>0</v>
      </c>
      <c r="L13" s="3" t="n">
        <v>63732.04</v>
      </c>
      <c r="M13" s="3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8828125" defaultRowHeight="15" customHeight="0" zeroHeight="0" outlineLevelRow="0"/>
  <cols>
    <col width="16" customWidth="1" style="3" min="1" max="3"/>
    <col width="19" customWidth="1" style="3" min="4" max="4"/>
    <col width="18" customWidth="1" style="3" min="5" max="5"/>
    <col width="20" customWidth="1" style="3" min="6" max="6"/>
  </cols>
  <sheetData>
    <row r="1" ht="15" customHeight="1" s="4">
      <c r="A1" s="5" t="inlineStr">
        <is>
          <t>SKU</t>
        </is>
      </c>
      <c r="B1" s="5" t="inlineStr">
        <is>
          <t>Канал</t>
        </is>
      </c>
      <c r="C1" s="5" t="inlineStr">
        <is>
          <t>Категория</t>
        </is>
      </c>
      <c r="D1" s="5" t="inlineStr">
        <is>
          <t>Чистая выручка, ₽</t>
        </is>
      </c>
      <c r="E1" s="5" t="inlineStr">
        <is>
          <t>Себестоимость, ₽</t>
        </is>
      </c>
      <c r="F1" s="5" t="inlineStr">
        <is>
          <t>Валовая прибыль, ₽</t>
        </is>
      </c>
    </row>
    <row r="2" ht="15" customHeight="1" s="4">
      <c r="A2" s="3">
        <f>Источники!A2</f>
        <v/>
      </c>
      <c r="B2" s="3">
        <f>Источники!B2</f>
        <v/>
      </c>
      <c r="C2" s="3">
        <f>Источники!C2</f>
        <v/>
      </c>
      <c r="D2" s="3">
        <f>Источники!G2</f>
        <v/>
      </c>
      <c r="E2" s="3">
        <f>Источники!H2</f>
        <v/>
      </c>
      <c r="F2" s="3">
        <f>D2-E2</f>
        <v/>
      </c>
    </row>
    <row r="3" ht="15" customHeight="1" s="4">
      <c r="A3" s="3">
        <f>Источники!A3</f>
        <v/>
      </c>
      <c r="B3" s="3">
        <f>Источники!B3</f>
        <v/>
      </c>
      <c r="C3" s="3">
        <f>Источники!C3</f>
        <v/>
      </c>
      <c r="D3" s="3">
        <f>Источники!G3</f>
        <v/>
      </c>
      <c r="E3" s="3">
        <f>Источники!H3</f>
        <v/>
      </c>
      <c r="F3" s="3">
        <f>D3-E3</f>
        <v/>
      </c>
    </row>
    <row r="4" ht="15" customHeight="1" s="4">
      <c r="A4" s="3">
        <f>Источники!A4</f>
        <v/>
      </c>
      <c r="B4" s="3">
        <f>Источники!B4</f>
        <v/>
      </c>
      <c r="C4" s="3">
        <f>Источники!C4</f>
        <v/>
      </c>
      <c r="D4" s="3">
        <f>Источники!G4</f>
        <v/>
      </c>
      <c r="E4" s="3">
        <f>Источники!H4</f>
        <v/>
      </c>
      <c r="F4" s="3">
        <f>D4-E4</f>
        <v/>
      </c>
    </row>
    <row r="5" ht="15" customHeight="1" s="4">
      <c r="A5" s="3">
        <f>Источники!A5</f>
        <v/>
      </c>
      <c r="B5" s="3">
        <f>Источники!B5</f>
        <v/>
      </c>
      <c r="C5" s="3">
        <f>Источники!C5</f>
        <v/>
      </c>
      <c r="D5" s="3">
        <f>Источники!G5</f>
        <v/>
      </c>
      <c r="E5" s="3">
        <f>Источники!H5</f>
        <v/>
      </c>
      <c r="F5" s="3">
        <f>D5-E5</f>
        <v/>
      </c>
    </row>
    <row r="6" ht="15" customHeight="1" s="4">
      <c r="A6" s="3">
        <f>Источники!A6</f>
        <v/>
      </c>
      <c r="B6" s="3">
        <f>Источники!B6</f>
        <v/>
      </c>
      <c r="C6" s="3">
        <f>Источники!C6</f>
        <v/>
      </c>
      <c r="D6" s="3">
        <f>Источники!G6</f>
        <v/>
      </c>
      <c r="E6" s="3">
        <f>Источники!H6</f>
        <v/>
      </c>
      <c r="F6" s="3">
        <f>D6-E6</f>
        <v/>
      </c>
    </row>
    <row r="7" ht="15" customHeight="1" s="4">
      <c r="A7" s="3">
        <f>Источники!A7</f>
        <v/>
      </c>
      <c r="B7" s="3">
        <f>Источники!B7</f>
        <v/>
      </c>
      <c r="C7" s="3">
        <f>Источники!C7</f>
        <v/>
      </c>
      <c r="D7" s="3">
        <f>Источники!G7</f>
        <v/>
      </c>
      <c r="E7" s="3">
        <f>Источники!H7</f>
        <v/>
      </c>
      <c r="F7" s="3">
        <f>D7-E7</f>
        <v/>
      </c>
    </row>
    <row r="8" ht="15" customHeight="1" s="4">
      <c r="A8" s="3">
        <f>Источники!A8</f>
        <v/>
      </c>
      <c r="B8" s="3">
        <f>Источники!B8</f>
        <v/>
      </c>
      <c r="C8" s="3">
        <f>Источники!C8</f>
        <v/>
      </c>
      <c r="D8" s="3">
        <f>Источники!G8</f>
        <v/>
      </c>
      <c r="E8" s="3">
        <f>Источники!H8</f>
        <v/>
      </c>
      <c r="F8" s="3">
        <f>D8-E8</f>
        <v/>
      </c>
    </row>
    <row r="9" ht="15" customHeight="1" s="4">
      <c r="A9" s="3">
        <f>Источники!A9</f>
        <v/>
      </c>
      <c r="B9" s="3">
        <f>Источники!B9</f>
        <v/>
      </c>
      <c r="C9" s="3">
        <f>Источники!C9</f>
        <v/>
      </c>
      <c r="D9" s="3">
        <f>Источники!G9</f>
        <v/>
      </c>
      <c r="E9" s="3">
        <f>Источники!H9</f>
        <v/>
      </c>
      <c r="F9" s="3">
        <f>D9-E9</f>
        <v/>
      </c>
    </row>
    <row r="10" ht="15" customHeight="1" s="4">
      <c r="A10" s="3">
        <f>Источники!A10</f>
        <v/>
      </c>
      <c r="B10" s="3">
        <f>Источники!B10</f>
        <v/>
      </c>
      <c r="C10" s="3">
        <f>Источники!C10</f>
        <v/>
      </c>
      <c r="D10" s="3">
        <f>Источники!G10</f>
        <v/>
      </c>
      <c r="E10" s="3">
        <f>Источники!H10</f>
        <v/>
      </c>
      <c r="F10" s="3">
        <f>D10-E10</f>
        <v/>
      </c>
    </row>
    <row r="11" ht="15" customHeight="1" s="4">
      <c r="A11" s="3">
        <f>Источники!A11</f>
        <v/>
      </c>
      <c r="B11" s="3">
        <f>Источники!B11</f>
        <v/>
      </c>
      <c r="C11" s="3">
        <f>Источники!C11</f>
        <v/>
      </c>
      <c r="D11" s="3">
        <f>Источники!G11</f>
        <v/>
      </c>
      <c r="E11" s="3">
        <f>Источники!H11</f>
        <v/>
      </c>
      <c r="F11" s="3">
        <f>D11-E11</f>
        <v/>
      </c>
    </row>
    <row r="12" ht="15" customHeight="1" s="4">
      <c r="A12" s="3">
        <f>Источники!A12</f>
        <v/>
      </c>
      <c r="B12" s="3">
        <f>Источники!B12</f>
        <v/>
      </c>
      <c r="C12" s="3">
        <f>Источники!C12</f>
        <v/>
      </c>
      <c r="D12" s="3">
        <f>Источники!G12</f>
        <v/>
      </c>
      <c r="E12" s="3">
        <f>Источники!H12</f>
        <v/>
      </c>
      <c r="F12" s="3">
        <f>D12-E12</f>
        <v/>
      </c>
    </row>
    <row r="13" ht="15" customHeight="1" s="4">
      <c r="A13" s="3">
        <f>Источники!A13</f>
        <v/>
      </c>
      <c r="B13" s="3">
        <f>Источники!B13</f>
        <v/>
      </c>
      <c r="C13" s="3">
        <f>Источники!C13</f>
        <v/>
      </c>
      <c r="D13" s="3">
        <f>Источники!G13</f>
        <v/>
      </c>
      <c r="E13" s="3">
        <f>Источники!H13</f>
        <v/>
      </c>
      <c r="F13" s="3">
        <f>D13-E13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8828125" defaultRowHeight="15" customHeight="0" zeroHeight="0" outlineLevelRow="0"/>
  <cols>
    <col width="16" customWidth="1" style="3" min="1" max="3"/>
    <col width="20" customWidth="1" style="3" min="4" max="4"/>
    <col width="16" customWidth="1" style="3" min="5" max="9"/>
    <col width="25" customWidth="1" style="3" min="10" max="10"/>
  </cols>
  <sheetData>
    <row r="1" ht="15" customHeight="1" s="4">
      <c r="A1" s="5" t="inlineStr">
        <is>
          <t>SKU</t>
        </is>
      </c>
      <c r="B1" s="5" t="inlineStr">
        <is>
          <t>Канал</t>
        </is>
      </c>
      <c r="C1" s="5" t="inlineStr">
        <is>
          <t>Категория</t>
        </is>
      </c>
      <c r="D1" s="5" t="inlineStr">
        <is>
          <t>Валовая прибыль, ₽</t>
        </is>
      </c>
      <c r="E1" s="5" t="inlineStr">
        <is>
          <t>Комиссия, ₽</t>
        </is>
      </c>
      <c r="F1" s="5" t="inlineStr">
        <is>
          <t>Логистика, ₽</t>
        </is>
      </c>
      <c r="G1" s="5" t="inlineStr">
        <is>
          <t>Эквайринг, ₽</t>
        </is>
      </c>
      <c r="H1" s="5" t="inlineStr">
        <is>
          <t>ДРР, ₽</t>
        </is>
      </c>
      <c r="I1" s="5" t="inlineStr">
        <is>
          <t>Соинвест, ₽</t>
        </is>
      </c>
      <c r="J1" s="5" t="inlineStr">
        <is>
          <t>Маржинальная прибыль, ₽</t>
        </is>
      </c>
    </row>
    <row r="2" ht="15" customHeight="1" s="4">
      <c r="A2" s="3">
        <f>Валовая!A2</f>
        <v/>
      </c>
      <c r="B2" s="3">
        <f>Валовая!B2</f>
        <v/>
      </c>
      <c r="C2" s="3">
        <f>Валовая!C2</f>
        <v/>
      </c>
      <c r="D2" s="3">
        <f>Валовая!F2</f>
        <v/>
      </c>
      <c r="E2" s="3">
        <f>Источники!I2</f>
        <v/>
      </c>
      <c r="F2" s="3">
        <f>Источники!J2</f>
        <v/>
      </c>
      <c r="G2" s="3">
        <f>Источники!K2</f>
        <v/>
      </c>
      <c r="H2" s="3">
        <f>Источники!L2</f>
        <v/>
      </c>
      <c r="I2" s="3">
        <f>Источники!M2</f>
        <v/>
      </c>
      <c r="J2" s="3">
        <f>D2-E2-F2-G2-H2+I2</f>
        <v/>
      </c>
    </row>
    <row r="3" ht="15" customHeight="1" s="4">
      <c r="A3" s="3">
        <f>Валовая!A3</f>
        <v/>
      </c>
      <c r="B3" s="3">
        <f>Валовая!B3</f>
        <v/>
      </c>
      <c r="C3" s="3">
        <f>Валовая!C3</f>
        <v/>
      </c>
      <c r="D3" s="3">
        <f>Валовая!F3</f>
        <v/>
      </c>
      <c r="E3" s="3">
        <f>Источники!I3</f>
        <v/>
      </c>
      <c r="F3" s="3">
        <f>Источники!J3</f>
        <v/>
      </c>
      <c r="G3" s="3">
        <f>Источники!K3</f>
        <v/>
      </c>
      <c r="H3" s="3">
        <f>Источники!L3</f>
        <v/>
      </c>
      <c r="I3" s="3">
        <f>Источники!M3</f>
        <v/>
      </c>
      <c r="J3" s="3">
        <f>D3-E3-F3-G3-H3+I3</f>
        <v/>
      </c>
    </row>
    <row r="4" ht="15" customHeight="1" s="4">
      <c r="A4" s="3">
        <f>Валовая!A4</f>
        <v/>
      </c>
      <c r="B4" s="3">
        <f>Валовая!B4</f>
        <v/>
      </c>
      <c r="C4" s="3">
        <f>Валовая!C4</f>
        <v/>
      </c>
      <c r="D4" s="3">
        <f>Валовая!F4</f>
        <v/>
      </c>
      <c r="E4" s="3">
        <f>Источники!I4</f>
        <v/>
      </c>
      <c r="F4" s="3">
        <f>Источники!J4</f>
        <v/>
      </c>
      <c r="G4" s="3">
        <f>Источники!K4</f>
        <v/>
      </c>
      <c r="H4" s="3">
        <f>Источники!L4</f>
        <v/>
      </c>
      <c r="I4" s="3">
        <f>Источники!M4</f>
        <v/>
      </c>
      <c r="J4" s="3">
        <f>D4-E4-F4-G4-H4+I4</f>
        <v/>
      </c>
    </row>
    <row r="5" ht="15" customHeight="1" s="4">
      <c r="A5" s="3">
        <f>Валовая!A5</f>
        <v/>
      </c>
      <c r="B5" s="3">
        <f>Валовая!B5</f>
        <v/>
      </c>
      <c r="C5" s="3">
        <f>Валовая!C5</f>
        <v/>
      </c>
      <c r="D5" s="3">
        <f>Валовая!F5</f>
        <v/>
      </c>
      <c r="E5" s="3">
        <f>Источники!I5</f>
        <v/>
      </c>
      <c r="F5" s="3">
        <f>Источники!J5</f>
        <v/>
      </c>
      <c r="G5" s="3">
        <f>Источники!K5</f>
        <v/>
      </c>
      <c r="H5" s="3">
        <f>Источники!L5</f>
        <v/>
      </c>
      <c r="I5" s="3">
        <f>Источники!M5</f>
        <v/>
      </c>
      <c r="J5" s="3">
        <f>D5-E5-F5-G5-H5+I5</f>
        <v/>
      </c>
    </row>
    <row r="6" ht="15" customHeight="1" s="4">
      <c r="A6" s="3">
        <f>Валовая!A6</f>
        <v/>
      </c>
      <c r="B6" s="3">
        <f>Валовая!B6</f>
        <v/>
      </c>
      <c r="C6" s="3">
        <f>Валовая!C6</f>
        <v/>
      </c>
      <c r="D6" s="3">
        <f>Валовая!F6</f>
        <v/>
      </c>
      <c r="E6" s="3">
        <f>Источники!I6</f>
        <v/>
      </c>
      <c r="F6" s="3">
        <f>Источники!J6</f>
        <v/>
      </c>
      <c r="G6" s="3">
        <f>Источники!K6</f>
        <v/>
      </c>
      <c r="H6" s="3">
        <f>Источники!L6</f>
        <v/>
      </c>
      <c r="I6" s="3">
        <f>Источники!M6</f>
        <v/>
      </c>
      <c r="J6" s="3">
        <f>D6-E6-F6-G6-H6+I6</f>
        <v/>
      </c>
    </row>
    <row r="7" ht="15" customHeight="1" s="4">
      <c r="A7" s="3">
        <f>Валовая!A7</f>
        <v/>
      </c>
      <c r="B7" s="3">
        <f>Валовая!B7</f>
        <v/>
      </c>
      <c r="C7" s="3">
        <f>Валовая!C7</f>
        <v/>
      </c>
      <c r="D7" s="3">
        <f>Валовая!F7</f>
        <v/>
      </c>
      <c r="E7" s="3">
        <f>Источники!I7</f>
        <v/>
      </c>
      <c r="F7" s="3">
        <f>Источники!J7</f>
        <v/>
      </c>
      <c r="G7" s="3">
        <f>Источники!K7</f>
        <v/>
      </c>
      <c r="H7" s="3">
        <f>Источники!L7</f>
        <v/>
      </c>
      <c r="I7" s="3">
        <f>Источники!M7</f>
        <v/>
      </c>
      <c r="J7" s="3">
        <f>D7-E7-F7-G7-H7+I7</f>
        <v/>
      </c>
    </row>
    <row r="8" ht="15" customHeight="1" s="4">
      <c r="A8" s="3">
        <f>Валовая!A8</f>
        <v/>
      </c>
      <c r="B8" s="3">
        <f>Валовая!B8</f>
        <v/>
      </c>
      <c r="C8" s="3">
        <f>Валовая!C8</f>
        <v/>
      </c>
      <c r="D8" s="3">
        <f>Валовая!F8</f>
        <v/>
      </c>
      <c r="E8" s="3">
        <f>Источники!I8</f>
        <v/>
      </c>
      <c r="F8" s="3">
        <f>Источники!J8</f>
        <v/>
      </c>
      <c r="G8" s="3">
        <f>Источники!K8</f>
        <v/>
      </c>
      <c r="H8" s="3">
        <f>Источники!L8</f>
        <v/>
      </c>
      <c r="I8" s="3">
        <f>Источники!M8</f>
        <v/>
      </c>
      <c r="J8" s="3">
        <f>D8-E8-F8-G8-H8+I8</f>
        <v/>
      </c>
    </row>
    <row r="9" ht="15" customHeight="1" s="4">
      <c r="A9" s="3">
        <f>Валовая!A9</f>
        <v/>
      </c>
      <c r="B9" s="3">
        <f>Валовая!B9</f>
        <v/>
      </c>
      <c r="C9" s="3">
        <f>Валовая!C9</f>
        <v/>
      </c>
      <c r="D9" s="3">
        <f>Валовая!F9</f>
        <v/>
      </c>
      <c r="E9" s="3">
        <f>Источники!I9</f>
        <v/>
      </c>
      <c r="F9" s="3">
        <f>Источники!J9</f>
        <v/>
      </c>
      <c r="G9" s="3">
        <f>Источники!K9</f>
        <v/>
      </c>
      <c r="H9" s="3">
        <f>Источники!L9</f>
        <v/>
      </c>
      <c r="I9" s="3">
        <f>Источники!M9</f>
        <v/>
      </c>
      <c r="J9" s="3">
        <f>D9-E9-F9-G9-H9+I9</f>
        <v/>
      </c>
    </row>
    <row r="10" ht="15" customHeight="1" s="4">
      <c r="A10" s="3">
        <f>Валовая!A10</f>
        <v/>
      </c>
      <c r="B10" s="3">
        <f>Валовая!B10</f>
        <v/>
      </c>
      <c r="C10" s="3">
        <f>Валовая!C10</f>
        <v/>
      </c>
      <c r="D10" s="3">
        <f>Валовая!F10</f>
        <v/>
      </c>
      <c r="E10" s="3">
        <f>Источники!I10</f>
        <v/>
      </c>
      <c r="F10" s="3">
        <f>Источники!J10</f>
        <v/>
      </c>
      <c r="G10" s="3">
        <f>Источники!K10</f>
        <v/>
      </c>
      <c r="H10" s="3">
        <f>Источники!L10</f>
        <v/>
      </c>
      <c r="I10" s="3">
        <f>Источники!M10</f>
        <v/>
      </c>
      <c r="J10" s="3">
        <f>D10-E10-F10-G10-H10+I10</f>
        <v/>
      </c>
    </row>
    <row r="11" ht="15" customHeight="1" s="4">
      <c r="A11" s="3">
        <f>Валовая!A11</f>
        <v/>
      </c>
      <c r="B11" s="3">
        <f>Валовая!B11</f>
        <v/>
      </c>
      <c r="C11" s="3">
        <f>Валовая!C11</f>
        <v/>
      </c>
      <c r="D11" s="3">
        <f>Валовая!F11</f>
        <v/>
      </c>
      <c r="E11" s="3">
        <f>Источники!I11</f>
        <v/>
      </c>
      <c r="F11" s="3">
        <f>Источники!J11</f>
        <v/>
      </c>
      <c r="G11" s="3">
        <f>Источники!K11</f>
        <v/>
      </c>
      <c r="H11" s="3">
        <f>Источники!L11</f>
        <v/>
      </c>
      <c r="I11" s="3">
        <f>Источники!M11</f>
        <v/>
      </c>
      <c r="J11" s="3">
        <f>D11-E11-F11-G11-H11+I11</f>
        <v/>
      </c>
    </row>
    <row r="12" ht="15" customHeight="1" s="4">
      <c r="A12" s="3">
        <f>Валовая!A12</f>
        <v/>
      </c>
      <c r="B12" s="3">
        <f>Валовая!B12</f>
        <v/>
      </c>
      <c r="C12" s="3">
        <f>Валовая!C12</f>
        <v/>
      </c>
      <c r="D12" s="3">
        <f>Валовая!F12</f>
        <v/>
      </c>
      <c r="E12" s="3">
        <f>Источники!I12</f>
        <v/>
      </c>
      <c r="F12" s="3">
        <f>Источники!J12</f>
        <v/>
      </c>
      <c r="G12" s="3">
        <f>Источники!K12</f>
        <v/>
      </c>
      <c r="H12" s="3">
        <f>Источники!L12</f>
        <v/>
      </c>
      <c r="I12" s="3">
        <f>Источники!M12</f>
        <v/>
      </c>
      <c r="J12" s="3">
        <f>D12-E12-F12-G12-H12+I12</f>
        <v/>
      </c>
    </row>
    <row r="13" ht="15" customHeight="1" s="4">
      <c r="A13" s="3">
        <f>Валовая!A13</f>
        <v/>
      </c>
      <c r="B13" s="3">
        <f>Валовая!B13</f>
        <v/>
      </c>
      <c r="C13" s="3">
        <f>Валовая!C13</f>
        <v/>
      </c>
      <c r="D13" s="3">
        <f>Валовая!F13</f>
        <v/>
      </c>
      <c r="E13" s="3">
        <f>Источники!I13</f>
        <v/>
      </c>
      <c r="F13" s="3">
        <f>Источники!J13</f>
        <v/>
      </c>
      <c r="G13" s="3">
        <f>Источники!K13</f>
        <v/>
      </c>
      <c r="H13" s="3">
        <f>Источники!L13</f>
        <v/>
      </c>
      <c r="I13" s="3">
        <f>Источники!M13</f>
        <v/>
      </c>
      <c r="J13" s="3">
        <f>D13-E13-F13-G13-H13+I13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8828125" defaultRowHeight="15" customHeight="0" zeroHeight="0" outlineLevelRow="0"/>
  <cols>
    <col width="25" customWidth="1" style="3" min="1" max="1"/>
    <col width="16" customWidth="1" style="3" min="2" max="2"/>
  </cols>
  <sheetData>
    <row r="1" ht="15" customHeight="1" s="4">
      <c r="A1" s="5" t="inlineStr">
        <is>
          <t>Статья</t>
        </is>
      </c>
      <c r="B1" s="5" t="inlineStr">
        <is>
          <t>Сумма, ₽</t>
        </is>
      </c>
    </row>
    <row r="2" ht="15" customHeight="1" s="4">
      <c r="A2" s="3" t="inlineStr">
        <is>
          <t>Зарплата</t>
        </is>
      </c>
      <c r="B2" s="3" t="n">
        <v>2460910.2</v>
      </c>
    </row>
    <row r="3" ht="15" customHeight="1" s="4">
      <c r="A3" s="3" t="inlineStr">
        <is>
          <t>Аренда</t>
        </is>
      </c>
      <c r="B3" s="3" t="n">
        <v>820000</v>
      </c>
    </row>
    <row r="4" ht="15" customHeight="1" s="4">
      <c r="A4" s="3" t="inlineStr">
        <is>
          <t>IT-услуги</t>
        </is>
      </c>
      <c r="B4" s="3" t="n">
        <v>205000</v>
      </c>
    </row>
    <row r="5" ht="15" customHeight="1" s="4">
      <c r="A5" s="3" t="inlineStr">
        <is>
          <t>Прочие услуги</t>
        </is>
      </c>
      <c r="B5" s="3" t="n">
        <v>410000</v>
      </c>
    </row>
    <row r="6" ht="15" customHeight="1" s="4">
      <c r="A6" s="3" t="inlineStr">
        <is>
          <t>Прочие административные</t>
        </is>
      </c>
      <c r="B6" s="3" t="n">
        <v>410000</v>
      </c>
    </row>
    <row r="7" ht="15" customHeight="1" s="4">
      <c r="A7" s="3" t="inlineStr">
        <is>
          <t>ИТОГО</t>
        </is>
      </c>
      <c r="B7" s="3">
        <f>SUM(B2:B6)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8828125" defaultRowHeight="15" customHeight="0" zeroHeight="0" outlineLevelRow="0"/>
  <cols>
    <col width="16" customWidth="1" style="3" min="1" max="1"/>
    <col width="19" customWidth="1" style="3" min="2" max="2"/>
    <col width="25" customWidth="1" style="3" min="3" max="3"/>
    <col width="16" customWidth="1" style="3" min="4" max="4"/>
    <col width="23" customWidth="1" style="3" min="5" max="5"/>
    <col width="18" customWidth="1" style="3" min="6" max="6"/>
    <col width="16" customWidth="1" style="3" min="7" max="8"/>
  </cols>
  <sheetData>
    <row r="1" ht="15" customHeight="1" s="4">
      <c r="A1" s="5" t="inlineStr">
        <is>
          <t>Категория</t>
        </is>
      </c>
      <c r="B1" s="5" t="inlineStr">
        <is>
          <t>Чистая выручка, ₽</t>
        </is>
      </c>
      <c r="C1" s="5" t="inlineStr">
        <is>
          <t>Маржинальная прибыль, ₽</t>
        </is>
      </c>
      <c r="D1" s="5" t="inlineStr">
        <is>
          <t>Доля выручки</t>
        </is>
      </c>
      <c r="E1" s="5" t="inlineStr">
        <is>
          <t>Постоянные (alloc), ₽</t>
        </is>
      </c>
      <c r="F1" s="5" t="inlineStr">
        <is>
          <t>Бренд (alloc), ₽</t>
        </is>
      </c>
      <c r="G1" s="5" t="inlineStr">
        <is>
          <t>Транспорт (alloc), ₽</t>
        </is>
      </c>
      <c r="H1" s="5" t="inlineStr">
        <is>
          <t>EBITDA, ₽</t>
        </is>
      </c>
      <c r="I1" s="3" t="inlineStr">
        <is>
          <t>EBITDA, %</t>
        </is>
      </c>
    </row>
    <row r="2" ht="15" customHeight="1" s="4">
      <c r="A2" s="3" t="inlineStr">
        <is>
          <t>Бытхимия</t>
        </is>
      </c>
      <c r="B2" s="3">
        <f>SUMIFS(Валовая!$D:$D, Валовая!$C:$C, "Бытхимия")</f>
        <v/>
      </c>
      <c r="C2" s="3">
        <f>SUMIFS(Маржинальная!$J:$J, Маржинальная!$C:$C, "Бытхимия")</f>
        <v/>
      </c>
      <c r="D2" s="3">
        <f>B2/SUM($B$2:$B$4)</f>
        <v/>
      </c>
      <c r="E2" s="3">
        <f>D2*Постоянные!$B$7</f>
        <v/>
      </c>
      <c r="F2" s="3">
        <f>D2*800000</f>
        <v/>
      </c>
      <c r="G2" s="3">
        <f>D2*510000</f>
        <v/>
      </c>
      <c r="H2" s="3">
        <f>C2-E2-F2-G2</f>
        <v/>
      </c>
      <c r="I2" s="3">
        <f>H2/B2</f>
        <v/>
      </c>
    </row>
    <row r="3" ht="15" customHeight="1" s="4">
      <c r="A3" s="3" t="inlineStr">
        <is>
          <t>Посуда</t>
        </is>
      </c>
      <c r="B3" s="3">
        <f>SUMIFS(Валовая!$D:$D, Валовая!$C:$C, "Посуда")</f>
        <v/>
      </c>
      <c r="C3" s="3">
        <f>SUMIFS(Маржинальная!$J:$J, Маржинальная!$C:$C, "Посуда")</f>
        <v/>
      </c>
      <c r="D3" s="3">
        <f>B3/SUM($B$2:$B$4)</f>
        <v/>
      </c>
      <c r="E3" s="3">
        <f>D3*Постоянные!$B$7</f>
        <v/>
      </c>
      <c r="F3" s="3">
        <f>D3*800000</f>
        <v/>
      </c>
      <c r="G3" s="3">
        <f>D3*510000</f>
        <v/>
      </c>
      <c r="H3" s="3">
        <f>C3-E3-F3-G3</f>
        <v/>
      </c>
      <c r="I3" s="3">
        <f>H3/B3</f>
        <v/>
      </c>
    </row>
    <row r="4" ht="15" customHeight="1" s="4">
      <c r="A4" s="3" t="inlineStr">
        <is>
          <t>Стёкла</t>
        </is>
      </c>
      <c r="B4" s="3">
        <f>SUMIFS(Валовая!$D:$D, Валовая!$C:$C, "Стёкла")</f>
        <v/>
      </c>
      <c r="C4" s="3">
        <f>SUMIFS(Маржинальная!$J:$J, Маржинальная!$C:$C, "Стёкла")</f>
        <v/>
      </c>
      <c r="D4" s="3">
        <f>B4/SUM($B$2:$B$4)</f>
        <v/>
      </c>
      <c r="E4" s="3">
        <f>D4*Постоянные!$B$7</f>
        <v/>
      </c>
      <c r="F4" s="3">
        <f>D4*800000</f>
        <v/>
      </c>
      <c r="G4" s="3">
        <f>D4*510000</f>
        <v/>
      </c>
      <c r="H4" s="3">
        <f>C4-E4-F4-G4</f>
        <v/>
      </c>
      <c r="I4" s="3">
        <f>H4/B4</f>
        <v/>
      </c>
    </row>
    <row r="5" ht="15" customHeight="1" s="4">
      <c r="A5" s="3" t="inlineStr">
        <is>
          <t>ИТОГО</t>
        </is>
      </c>
      <c r="B5" s="3">
        <f>SUM(B2:B4)</f>
        <v/>
      </c>
      <c r="C5" s="3">
        <f>SUM(C2:C4)</f>
        <v/>
      </c>
      <c r="D5" s="3">
        <f>SUM(D2:D4)</f>
        <v/>
      </c>
      <c r="E5" s="3">
        <f>SUM(E2:E4)</f>
        <v/>
      </c>
      <c r="F5" s="3">
        <f>SUM(F2:F4)</f>
        <v/>
      </c>
      <c r="G5" s="3">
        <f>SUM(G2:G4)</f>
        <v/>
      </c>
      <c r="H5" s="3">
        <f>SUM(H2:H4)</f>
        <v/>
      </c>
      <c r="I5" s="3">
        <f>H5/B5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8828125" defaultRowHeight="15" customHeight="0" zeroHeight="0" outlineLevelRow="0"/>
  <cols>
    <col width="22" customWidth="1" style="3" min="1" max="1"/>
    <col width="16" customWidth="1" style="3" min="2" max="2"/>
    <col width="21" customWidth="1" style="3" min="3" max="3"/>
  </cols>
  <sheetData>
    <row r="1" ht="15" customHeight="1" s="4">
      <c r="A1" s="5" t="inlineStr">
        <is>
          <t>Уровень</t>
        </is>
      </c>
      <c r="B1" s="5" t="inlineStr">
        <is>
          <t>Сумма, ₽</t>
        </is>
      </c>
      <c r="C1" s="5" t="inlineStr">
        <is>
          <t>% от чистой выручки</t>
        </is>
      </c>
    </row>
    <row r="2" ht="15" customHeight="1" s="4">
      <c r="A2" s="3" t="inlineStr">
        <is>
          <t>Чистая выручка</t>
        </is>
      </c>
      <c r="B2" s="3">
        <f>Операционная!B5</f>
        <v/>
      </c>
      <c r="C2" s="3" t="n">
        <v>1</v>
      </c>
    </row>
    <row r="3" ht="15" customHeight="1" s="4">
      <c r="A3" s="3" t="inlineStr">
        <is>
          <t>Маржинальная прибыль</t>
        </is>
      </c>
      <c r="B3" s="3">
        <f>Операционная!C5</f>
        <v/>
      </c>
      <c r="C3" s="3">
        <f>B3/B$2</f>
        <v/>
      </c>
    </row>
    <row r="4" ht="15" customHeight="1" s="4">
      <c r="A4" s="3" t="inlineStr">
        <is>
          <t>(−) Постоянные</t>
        </is>
      </c>
      <c r="B4" s="3">
        <f>-Операционная!E5</f>
        <v/>
      </c>
      <c r="C4" s="3">
        <f>B4/B$2</f>
        <v/>
      </c>
    </row>
    <row r="5" ht="15" customHeight="1" s="4">
      <c r="A5" s="3" t="inlineStr">
        <is>
          <t>(−) Бренд-маркетинг</t>
        </is>
      </c>
      <c r="B5" s="3">
        <f>-Операционная!F5</f>
        <v/>
      </c>
      <c r="C5" s="3">
        <f>B5/B$2</f>
        <v/>
      </c>
    </row>
    <row r="6" ht="15" customHeight="1" s="4">
      <c r="A6" s="3" t="inlineStr">
        <is>
          <t>(−) Транспорт</t>
        </is>
      </c>
      <c r="B6" s="3">
        <f>-Операционная!G5</f>
        <v/>
      </c>
      <c r="C6" s="3">
        <f>B6/B$2</f>
        <v/>
      </c>
    </row>
    <row r="7" ht="15" customHeight="1" s="4">
      <c r="A7" s="3" t="inlineStr">
        <is>
          <t>EBITDA</t>
        </is>
      </c>
      <c r="B7" s="3">
        <f>Операционная!H5</f>
        <v/>
      </c>
      <c r="C7" s="3">
        <f>Операционная!I5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2026-05-20T17:02:26Z</dcterms:created>
  <dcterms:modified xsi:type="dcterms:W3CDTF">2026-06-01T09:55:58Z</dcterms:modified>
  <cp:revision>0</cp:revision>
</cp:coreProperties>
</file>